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slicers/slicer2.xml" ContentType="application/vnd.ms-excel.slicer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C24667DF-9CDD-462D-8AD5-3750C8405FFF}" xr6:coauthVersionLast="47" xr6:coauthVersionMax="47" xr10:uidLastSave="{00000000-0000-0000-0000-000000000000}"/>
  <workbookProtection workbookAlgorithmName="SHA-512" workbookHashValue="tTlp/zNPuxkUsIXK6ZPBtQNFK9zbnLg6aQkSJLN6QN+4QB9zO3eFvB7AkCEycvXjDSsWPg2VTvMwm+O2PSDGwg==" workbookSaltValue="8t1SuUUNYg1tzFTgFps+RQ==" workbookSpinCount="100000" lockStructure="1"/>
  <bookViews>
    <workbookView xWindow="-108" yWindow="-108" windowWidth="23256" windowHeight="12576" tabRatio="798" xr2:uid="{00000000-000D-0000-FFFF-FFFF00000000}"/>
  </bookViews>
  <sheets>
    <sheet name="Projeção de Investimento" sheetId="22" r:id="rId1"/>
    <sheet name="Trading Plan" sheetId="23" r:id="rId2"/>
    <sheet name="Regras Gerais" sheetId="24" r:id="rId3"/>
    <sheet name="Diário de Operações" sheetId="11" r:id="rId4"/>
    <sheet name="Dashboard - 1" sheetId="21" r:id="rId5"/>
    <sheet name="Dashboard - 2" sheetId="20" r:id="rId6"/>
    <sheet name="Dinâmicas" sheetId="14" state="hidden" r:id="rId7"/>
    <sheet name="Padrões" sheetId="12" state="hidden" r:id="rId8"/>
  </sheets>
  <definedNames>
    <definedName name="SegmentaçãodeDados_Ano" localSheetId="0">#N/A</definedName>
    <definedName name="SegmentaçãodeDados_Ano" localSheetId="2">#N/A</definedName>
    <definedName name="SegmentaçãodeDados_Ano" localSheetId="1">#N/A</definedName>
    <definedName name="SegmentaçãodeDados_Ano">#N/A</definedName>
    <definedName name="SegmentaçãodeDados_Ativo1" localSheetId="0">#N/A</definedName>
    <definedName name="SegmentaçãodeDados_Ativo1" localSheetId="2">#N/A</definedName>
    <definedName name="SegmentaçãodeDados_Ativo1" localSheetId="1">#N/A</definedName>
    <definedName name="SegmentaçãodeDados_Ativo1">#N/A</definedName>
    <definedName name="SegmentaçãodeDados_Estratégia1" localSheetId="0">#N/A</definedName>
    <definedName name="SegmentaçãodeDados_Estratégia1" localSheetId="2">#N/A</definedName>
    <definedName name="SegmentaçãodeDados_Estratégia1" localSheetId="1">#N/A</definedName>
    <definedName name="SegmentaçãodeDados_Estratégia1">#N/A</definedName>
    <definedName name="SegmentaçãodeDados_Mês" localSheetId="0">#N/A</definedName>
    <definedName name="SegmentaçãodeDados_Mês" localSheetId="2">#N/A</definedName>
    <definedName name="SegmentaçãodeDados_Mês" localSheetId="1">#N/A</definedName>
    <definedName name="SegmentaçãodeDados_Mês">#N/A</definedName>
    <definedName name="SegmentaçãodeDados_Semana" localSheetId="0">#N/A</definedName>
    <definedName name="SegmentaçãodeDados_Semana" localSheetId="2">#N/A</definedName>
    <definedName name="SegmentaçãodeDados_Semana" localSheetId="1">#N/A</definedName>
    <definedName name="SegmentaçãodeDados_Semana">#N/A</definedName>
    <definedName name="SegmentaçãodeDados_Tipo_de_Ordem" localSheetId="0">#N/A</definedName>
    <definedName name="SegmentaçãodeDados_Tipo_de_Ordem" localSheetId="2">#N/A</definedName>
    <definedName name="SegmentaçãodeDados_Tipo_de_Ordem" localSheetId="1">#N/A</definedName>
    <definedName name="SegmentaçãodeDados_Tipo_de_Ordem">#N/A</definedName>
  </definedNames>
  <calcPr calcId="191029"/>
  <pivotCaches>
    <pivotCache cacheId="59" r:id="rId9"/>
    <pivotCache cacheId="71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3" i="14" l="1"/>
  <c r="AA4" i="11"/>
  <c r="AA5" i="11" s="1"/>
  <c r="AA6" i="11" s="1"/>
  <c r="AA7" i="11" s="1"/>
  <c r="AA8" i="11" s="1"/>
  <c r="N8" i="11" l="1"/>
  <c r="O8" i="11"/>
  <c r="P8" i="11"/>
  <c r="Q8" i="11"/>
  <c r="U8" i="11"/>
  <c r="X8" i="11" a="1"/>
  <c r="X8" i="11" s="1"/>
  <c r="Y8" i="11" s="1"/>
  <c r="Z8" i="11" s="1"/>
  <c r="H4" i="11"/>
  <c r="N7" i="11"/>
  <c r="O7" i="11"/>
  <c r="P7" i="11"/>
  <c r="Q7" i="11"/>
  <c r="U7" i="11"/>
  <c r="X7" i="11" a="1"/>
  <c r="X7" i="11" s="1"/>
  <c r="Y7" i="11" s="1"/>
  <c r="Z7" i="11" s="1"/>
  <c r="N6" i="11"/>
  <c r="O6" i="11"/>
  <c r="P6" i="11"/>
  <c r="Q6" i="11"/>
  <c r="U6" i="11"/>
  <c r="X4" i="11" a="1"/>
  <c r="X4" i="11" s="1"/>
  <c r="X5" i="11" a="1"/>
  <c r="X5" i="11" s="1"/>
  <c r="P8" i="22" l="1"/>
  <c r="K11" i="22" s="1"/>
  <c r="K13" i="22" s="1"/>
  <c r="AB2" i="14" l="1"/>
  <c r="Q4" i="11" l="1"/>
  <c r="Q5" i="11"/>
  <c r="U5" i="11" l="1"/>
  <c r="U4" i="11"/>
  <c r="S4" i="11" l="1"/>
  <c r="P4" i="11"/>
  <c r="P5" i="11"/>
  <c r="O4" i="11"/>
  <c r="O5" i="11"/>
  <c r="N4" i="11"/>
  <c r="N5" i="11"/>
  <c r="AK3" i="14" l="1" a="1"/>
  <c r="AK3" i="14" s="1"/>
  <c r="AK19" i="14" a="1"/>
  <c r="AK19" i="14" s="1"/>
  <c r="AK35" i="14" a="1"/>
  <c r="AK35" i="14" s="1"/>
  <c r="AK51" i="14" a="1"/>
  <c r="AK51" i="14" s="1"/>
  <c r="AK67" i="14" a="1"/>
  <c r="AK67" i="14" s="1"/>
  <c r="AK83" i="14" a="1"/>
  <c r="AK83" i="14" s="1"/>
  <c r="AK99" i="14" a="1"/>
  <c r="AK99" i="14" s="1"/>
  <c r="AK115" i="14" a="1"/>
  <c r="AK115" i="14" s="1"/>
  <c r="AK131" i="14" a="1"/>
  <c r="AK131" i="14" s="1"/>
  <c r="AK12" i="14" a="1"/>
  <c r="AK12" i="14" s="1"/>
  <c r="AK28" i="14" a="1"/>
  <c r="AK28" i="14" s="1"/>
  <c r="AK44" i="14" a="1"/>
  <c r="AK44" i="14" s="1"/>
  <c r="AK60" i="14" a="1"/>
  <c r="AK60" i="14" s="1"/>
  <c r="AK76" i="14" a="1"/>
  <c r="AK76" i="14" s="1"/>
  <c r="AK92" i="14" a="1"/>
  <c r="AK92" i="14" s="1"/>
  <c r="AK108" i="14" a="1"/>
  <c r="AK108" i="14" s="1"/>
  <c r="AK124" i="14" a="1"/>
  <c r="AK124" i="14" s="1"/>
  <c r="AK138" i="14" a="1"/>
  <c r="AK138" i="14" s="1"/>
  <c r="AK17" i="14" a="1"/>
  <c r="AK17" i="14" s="1"/>
  <c r="AK33" i="14" a="1"/>
  <c r="AK33" i="14" s="1"/>
  <c r="AK49" i="14" a="1"/>
  <c r="AK49" i="14" s="1"/>
  <c r="AK65" i="14" a="1"/>
  <c r="AK65" i="14" s="1"/>
  <c r="AK81" i="14" a="1"/>
  <c r="AK81" i="14" s="1"/>
  <c r="AK97" i="14" a="1"/>
  <c r="AK97" i="14" s="1"/>
  <c r="AK113" i="14" a="1"/>
  <c r="AK113" i="14" s="1"/>
  <c r="AK129" i="14" a="1"/>
  <c r="AK129" i="14" s="1"/>
  <c r="AK6" i="14" a="1"/>
  <c r="AK6" i="14" s="1"/>
  <c r="AK22" i="14" a="1"/>
  <c r="AK22" i="14" s="1"/>
  <c r="AK38" i="14" a="1"/>
  <c r="AK38" i="14" s="1"/>
  <c r="AK54" i="14" a="1"/>
  <c r="AK54" i="14" s="1"/>
  <c r="AK70" i="14" a="1"/>
  <c r="AK70" i="14" s="1"/>
  <c r="AK86" i="14" a="1"/>
  <c r="AK86" i="14" s="1"/>
  <c r="AK102" i="14" a="1"/>
  <c r="AK102" i="14" s="1"/>
  <c r="AK118" i="14" a="1"/>
  <c r="AK118" i="14" s="1"/>
  <c r="AJ3" i="14" a="1"/>
  <c r="AJ3" i="14" s="1"/>
  <c r="AJ19" i="14" a="1"/>
  <c r="AJ19" i="14" s="1"/>
  <c r="AJ35" i="14" a="1"/>
  <c r="AJ35" i="14" s="1"/>
  <c r="AJ51" i="14" a="1"/>
  <c r="AJ51" i="14" s="1"/>
  <c r="AJ67" i="14" a="1"/>
  <c r="AJ67" i="14" s="1"/>
  <c r="AJ83" i="14" a="1"/>
  <c r="AJ83" i="14" s="1"/>
  <c r="AJ99" i="14" a="1"/>
  <c r="AJ99" i="14" s="1"/>
  <c r="AJ115" i="14" a="1"/>
  <c r="AJ115" i="14" s="1"/>
  <c r="AJ131" i="14" a="1"/>
  <c r="AJ131" i="14" s="1"/>
  <c r="AJ8" i="14" a="1"/>
  <c r="AJ8" i="14" s="1"/>
  <c r="AJ24" i="14" a="1"/>
  <c r="AJ24" i="14" s="1"/>
  <c r="AJ40" i="14" a="1"/>
  <c r="AJ40" i="14" s="1"/>
  <c r="AJ56" i="14" a="1"/>
  <c r="AJ56" i="14" s="1"/>
  <c r="AJ72" i="14" a="1"/>
  <c r="AJ72" i="14" s="1"/>
  <c r="AJ88" i="14" a="1"/>
  <c r="AJ88" i="14" s="1"/>
  <c r="AJ104" i="14" a="1"/>
  <c r="AJ104" i="14" s="1"/>
  <c r="AJ120" i="14" a="1"/>
  <c r="AJ120" i="14" s="1"/>
  <c r="AJ136" i="14" a="1"/>
  <c r="AJ136" i="14" s="1"/>
  <c r="AJ17" i="14" a="1"/>
  <c r="AJ17" i="14" s="1"/>
  <c r="AJ33" i="14" a="1"/>
  <c r="AJ33" i="14" s="1"/>
  <c r="AJ49" i="14" a="1"/>
  <c r="AJ49" i="14" s="1"/>
  <c r="AJ65" i="14" a="1"/>
  <c r="AJ65" i="14" s="1"/>
  <c r="AJ81" i="14" a="1"/>
  <c r="AJ81" i="14" s="1"/>
  <c r="AJ97" i="14" a="1"/>
  <c r="AJ97" i="14" s="1"/>
  <c r="AJ113" i="14" a="1"/>
  <c r="AJ113" i="14" s="1"/>
  <c r="AJ129" i="14" a="1"/>
  <c r="AJ129" i="14" s="1"/>
  <c r="AJ6" i="14" a="1"/>
  <c r="AJ6" i="14" s="1"/>
  <c r="AJ22" i="14" a="1"/>
  <c r="AJ22" i="14" s="1"/>
  <c r="AJ38" i="14" a="1"/>
  <c r="AJ38" i="14" s="1"/>
  <c r="AJ54" i="14" a="1"/>
  <c r="AJ54" i="14" s="1"/>
  <c r="AJ70" i="14" a="1"/>
  <c r="AJ70" i="14" s="1"/>
  <c r="AJ86" i="14" a="1"/>
  <c r="AJ86" i="14" s="1"/>
  <c r="AJ102" i="14" a="1"/>
  <c r="AJ102" i="14" s="1"/>
  <c r="AJ118" i="14" a="1"/>
  <c r="AJ118" i="14" s="1"/>
  <c r="AK7" i="14" a="1"/>
  <c r="AK7" i="14" s="1"/>
  <c r="AK23" i="14" a="1"/>
  <c r="AK23" i="14" s="1"/>
  <c r="AK39" i="14" a="1"/>
  <c r="AK39" i="14" s="1"/>
  <c r="AK55" i="14" a="1"/>
  <c r="AK55" i="14" s="1"/>
  <c r="AK71" i="14" a="1"/>
  <c r="AK71" i="14" s="1"/>
  <c r="AK87" i="14" a="1"/>
  <c r="AK87" i="14" s="1"/>
  <c r="AK103" i="14" a="1"/>
  <c r="AK103" i="14" s="1"/>
  <c r="AK119" i="14" a="1"/>
  <c r="AK119" i="14" s="1"/>
  <c r="AK135" i="14" a="1"/>
  <c r="AK135" i="14" s="1"/>
  <c r="AK16" i="14" a="1"/>
  <c r="AK16" i="14" s="1"/>
  <c r="AK32" i="14" a="1"/>
  <c r="AK32" i="14" s="1"/>
  <c r="AK48" i="14" a="1"/>
  <c r="AK48" i="14" s="1"/>
  <c r="AK64" i="14" a="1"/>
  <c r="AK64" i="14" s="1"/>
  <c r="AK80" i="14" a="1"/>
  <c r="AK80" i="14" s="1"/>
  <c r="AK96" i="14" a="1"/>
  <c r="AK96" i="14" s="1"/>
  <c r="AK112" i="14" a="1"/>
  <c r="AK112" i="14" s="1"/>
  <c r="AK128" i="14" a="1"/>
  <c r="AK128" i="14" s="1"/>
  <c r="AK5" i="14" a="1"/>
  <c r="AK5" i="14" s="1"/>
  <c r="AK21" i="14" a="1"/>
  <c r="AK21" i="14" s="1"/>
  <c r="AK37" i="14" a="1"/>
  <c r="AK37" i="14" s="1"/>
  <c r="AK53" i="14" a="1"/>
  <c r="AK53" i="14" s="1"/>
  <c r="AK69" i="14" a="1"/>
  <c r="AK69" i="14" s="1"/>
  <c r="AK85" i="14" a="1"/>
  <c r="AK85" i="14" s="1"/>
  <c r="AK101" i="14" a="1"/>
  <c r="AK101" i="14" s="1"/>
  <c r="AK117" i="14" a="1"/>
  <c r="AK117" i="14" s="1"/>
  <c r="AK133" i="14" a="1"/>
  <c r="AK133" i="14" s="1"/>
  <c r="AK10" i="14" a="1"/>
  <c r="AK10" i="14" s="1"/>
  <c r="AK26" i="14" a="1"/>
  <c r="AK26" i="14" s="1"/>
  <c r="AK42" i="14" a="1"/>
  <c r="AK42" i="14" s="1"/>
  <c r="AK58" i="14" a="1"/>
  <c r="AK58" i="14" s="1"/>
  <c r="AK74" i="14" a="1"/>
  <c r="AK74" i="14" s="1"/>
  <c r="AK90" i="14" a="1"/>
  <c r="AK90" i="14" s="1"/>
  <c r="AK106" i="14" a="1"/>
  <c r="AK106" i="14" s="1"/>
  <c r="AK122" i="14" a="1"/>
  <c r="AK122" i="14" s="1"/>
  <c r="AJ7" i="14" a="1"/>
  <c r="AJ7" i="14" s="1"/>
  <c r="AJ23" i="14" a="1"/>
  <c r="AJ23" i="14" s="1"/>
  <c r="AJ39" i="14" a="1"/>
  <c r="AJ39" i="14" s="1"/>
  <c r="AJ55" i="14" a="1"/>
  <c r="AJ55" i="14" s="1"/>
  <c r="AJ71" i="14" a="1"/>
  <c r="AJ71" i="14" s="1"/>
  <c r="AJ87" i="14" a="1"/>
  <c r="AJ87" i="14" s="1"/>
  <c r="AJ103" i="14" a="1"/>
  <c r="AJ103" i="14" s="1"/>
  <c r="AJ119" i="14" a="1"/>
  <c r="AJ119" i="14" s="1"/>
  <c r="AJ135" i="14" a="1"/>
  <c r="AJ135" i="14" s="1"/>
  <c r="AJ12" i="14" a="1"/>
  <c r="AJ12" i="14" s="1"/>
  <c r="AJ28" i="14" a="1"/>
  <c r="AJ28" i="14" s="1"/>
  <c r="AJ44" i="14" a="1"/>
  <c r="AJ44" i="14" s="1"/>
  <c r="AJ60" i="14" a="1"/>
  <c r="AJ60" i="14" s="1"/>
  <c r="AJ76" i="14" a="1"/>
  <c r="AJ76" i="14" s="1"/>
  <c r="AJ92" i="14" a="1"/>
  <c r="AJ92" i="14" s="1"/>
  <c r="AJ108" i="14" a="1"/>
  <c r="AJ108" i="14" s="1"/>
  <c r="AJ124" i="14" a="1"/>
  <c r="AJ124" i="14" s="1"/>
  <c r="AJ5" i="14" a="1"/>
  <c r="AJ5" i="14" s="1"/>
  <c r="AJ21" i="14" a="1"/>
  <c r="AJ21" i="14" s="1"/>
  <c r="AJ37" i="14" a="1"/>
  <c r="AJ37" i="14" s="1"/>
  <c r="AJ53" i="14" a="1"/>
  <c r="AJ53" i="14" s="1"/>
  <c r="AJ69" i="14" a="1"/>
  <c r="AJ69" i="14" s="1"/>
  <c r="AJ85" i="14" a="1"/>
  <c r="AJ85" i="14" s="1"/>
  <c r="AJ101" i="14" a="1"/>
  <c r="AJ101" i="14" s="1"/>
  <c r="AJ117" i="14" a="1"/>
  <c r="AJ117" i="14" s="1"/>
  <c r="AJ133" i="14" a="1"/>
  <c r="AJ133" i="14" s="1"/>
  <c r="AJ10" i="14" a="1"/>
  <c r="AJ10" i="14" s="1"/>
  <c r="AJ26" i="14" a="1"/>
  <c r="AJ26" i="14" s="1"/>
  <c r="AJ42" i="14" a="1"/>
  <c r="AJ42" i="14" s="1"/>
  <c r="AJ58" i="14" a="1"/>
  <c r="AJ58" i="14" s="1"/>
  <c r="AJ74" i="14" a="1"/>
  <c r="AJ74" i="14" s="1"/>
  <c r="AJ90" i="14" a="1"/>
  <c r="AJ90" i="14" s="1"/>
  <c r="AJ106" i="14" a="1"/>
  <c r="AJ106" i="14" s="1"/>
  <c r="AJ122" i="14" a="1"/>
  <c r="AJ122" i="14" s="1"/>
  <c r="AK11" i="14" a="1"/>
  <c r="AK11" i="14" s="1"/>
  <c r="AK27" i="14" a="1"/>
  <c r="AK27" i="14" s="1"/>
  <c r="AK43" i="14" a="1"/>
  <c r="AK43" i="14" s="1"/>
  <c r="AK59" i="14" a="1"/>
  <c r="AK59" i="14" s="1"/>
  <c r="AK75" i="14" a="1"/>
  <c r="AK75" i="14" s="1"/>
  <c r="AK91" i="14" a="1"/>
  <c r="AK91" i="14" s="1"/>
  <c r="AK107" i="14" a="1"/>
  <c r="AK107" i="14" s="1"/>
  <c r="AK123" i="14" a="1"/>
  <c r="AK123" i="14" s="1"/>
  <c r="AK4" i="14" a="1"/>
  <c r="AK4" i="14" s="1"/>
  <c r="AK20" i="14" a="1"/>
  <c r="AK20" i="14" s="1"/>
  <c r="AK36" i="14" a="1"/>
  <c r="AK36" i="14" s="1"/>
  <c r="AK52" i="14" a="1"/>
  <c r="AK52" i="14" s="1"/>
  <c r="AK68" i="14" a="1"/>
  <c r="AK68" i="14" s="1"/>
  <c r="AK84" i="14" a="1"/>
  <c r="AK84" i="14" s="1"/>
  <c r="AK100" i="14" a="1"/>
  <c r="AK100" i="14" s="1"/>
  <c r="AK116" i="14" a="1"/>
  <c r="AK116" i="14" s="1"/>
  <c r="AK132" i="14" a="1"/>
  <c r="AK132" i="14" s="1"/>
  <c r="AK9" i="14" a="1"/>
  <c r="AK9" i="14" s="1"/>
  <c r="AK25" i="14" a="1"/>
  <c r="AK25" i="14" s="1"/>
  <c r="AK41" i="14" a="1"/>
  <c r="AK41" i="14" s="1"/>
  <c r="AK57" i="14" a="1"/>
  <c r="AK57" i="14" s="1"/>
  <c r="AK73" i="14" a="1"/>
  <c r="AK73" i="14" s="1"/>
  <c r="AK89" i="14" a="1"/>
  <c r="AK89" i="14" s="1"/>
  <c r="AK105" i="14" a="1"/>
  <c r="AK105" i="14" s="1"/>
  <c r="AK121" i="14" a="1"/>
  <c r="AK121" i="14" s="1"/>
  <c r="AK137" i="14" a="1"/>
  <c r="AK137" i="14" s="1"/>
  <c r="AK14" i="14" a="1"/>
  <c r="AK14" i="14" s="1"/>
  <c r="AK30" i="14" a="1"/>
  <c r="AK30" i="14" s="1"/>
  <c r="AK46" i="14" a="1"/>
  <c r="AK46" i="14" s="1"/>
  <c r="AK62" i="14" a="1"/>
  <c r="AK62" i="14" s="1"/>
  <c r="AK78" i="14" a="1"/>
  <c r="AK78" i="14" s="1"/>
  <c r="AK94" i="14" a="1"/>
  <c r="AK94" i="14" s="1"/>
  <c r="AK110" i="14" a="1"/>
  <c r="AK110" i="14" s="1"/>
  <c r="AK126" i="14" a="1"/>
  <c r="AK126" i="14" s="1"/>
  <c r="AJ11" i="14" a="1"/>
  <c r="AJ11" i="14" s="1"/>
  <c r="AJ27" i="14" a="1"/>
  <c r="AJ27" i="14" s="1"/>
  <c r="AJ43" i="14" a="1"/>
  <c r="AJ43" i="14" s="1"/>
  <c r="AJ59" i="14" a="1"/>
  <c r="AJ59" i="14" s="1"/>
  <c r="AJ75" i="14" a="1"/>
  <c r="AJ75" i="14" s="1"/>
  <c r="AJ91" i="14" a="1"/>
  <c r="AJ91" i="14" s="1"/>
  <c r="AJ107" i="14" a="1"/>
  <c r="AJ107" i="14" s="1"/>
  <c r="AJ123" i="14" a="1"/>
  <c r="AJ123" i="14" s="1"/>
  <c r="AJ134" i="14" a="1"/>
  <c r="AJ134" i="14" s="1"/>
  <c r="AJ16" i="14" a="1"/>
  <c r="AJ16" i="14" s="1"/>
  <c r="AJ32" i="14" a="1"/>
  <c r="AJ32" i="14" s="1"/>
  <c r="AJ48" i="14" a="1"/>
  <c r="AJ48" i="14" s="1"/>
  <c r="AJ64" i="14" a="1"/>
  <c r="AJ64" i="14" s="1"/>
  <c r="AJ80" i="14" a="1"/>
  <c r="AJ80" i="14" s="1"/>
  <c r="AJ96" i="14" a="1"/>
  <c r="AJ96" i="14" s="1"/>
  <c r="AJ112" i="14" a="1"/>
  <c r="AJ112" i="14" s="1"/>
  <c r="AJ128" i="14" a="1"/>
  <c r="AJ128" i="14" s="1"/>
  <c r="AJ9" i="14" a="1"/>
  <c r="AJ9" i="14" s="1"/>
  <c r="AJ25" i="14" a="1"/>
  <c r="AJ25" i="14" s="1"/>
  <c r="AJ41" i="14" a="1"/>
  <c r="AJ41" i="14" s="1"/>
  <c r="AJ57" i="14" a="1"/>
  <c r="AJ57" i="14" s="1"/>
  <c r="AJ73" i="14" a="1"/>
  <c r="AJ73" i="14" s="1"/>
  <c r="AJ89" i="14" a="1"/>
  <c r="AJ89" i="14" s="1"/>
  <c r="AJ105" i="14" a="1"/>
  <c r="AJ105" i="14" s="1"/>
  <c r="AJ121" i="14" a="1"/>
  <c r="AJ121" i="14" s="1"/>
  <c r="AJ137" i="14" a="1"/>
  <c r="AJ137" i="14" s="1"/>
  <c r="AJ14" i="14" a="1"/>
  <c r="AJ14" i="14" s="1"/>
  <c r="AJ30" i="14" a="1"/>
  <c r="AJ30" i="14" s="1"/>
  <c r="AJ46" i="14" a="1"/>
  <c r="AJ46" i="14" s="1"/>
  <c r="AJ62" i="14" a="1"/>
  <c r="AJ62" i="14" s="1"/>
  <c r="AJ78" i="14" a="1"/>
  <c r="AJ78" i="14" s="1"/>
  <c r="AJ94" i="14" a="1"/>
  <c r="AJ94" i="14" s="1"/>
  <c r="AJ110" i="14" a="1"/>
  <c r="AJ110" i="14" s="1"/>
  <c r="AJ126" i="14" a="1"/>
  <c r="AJ126" i="14" s="1"/>
  <c r="AJ138" i="14" a="1"/>
  <c r="AJ138" i="14" s="1"/>
  <c r="AK15" i="14" a="1"/>
  <c r="AK15" i="14" s="1"/>
  <c r="AK31" i="14" a="1"/>
  <c r="AK31" i="14" s="1"/>
  <c r="AK47" i="14" a="1"/>
  <c r="AK47" i="14" s="1"/>
  <c r="AK63" i="14" a="1"/>
  <c r="AK63" i="14" s="1"/>
  <c r="AK79" i="14" a="1"/>
  <c r="AK79" i="14" s="1"/>
  <c r="AK95" i="14" a="1"/>
  <c r="AK95" i="14" s="1"/>
  <c r="AK111" i="14" a="1"/>
  <c r="AK111" i="14" s="1"/>
  <c r="AK127" i="14" a="1"/>
  <c r="AK127" i="14" s="1"/>
  <c r="AK8" i="14" a="1"/>
  <c r="AK8" i="14" s="1"/>
  <c r="AK24" i="14" a="1"/>
  <c r="AK24" i="14" s="1"/>
  <c r="AK40" i="14" a="1"/>
  <c r="AK40" i="14" s="1"/>
  <c r="AK56" i="14" a="1"/>
  <c r="AK56" i="14" s="1"/>
  <c r="AK72" i="14" a="1"/>
  <c r="AK72" i="14" s="1"/>
  <c r="AK88" i="14" a="1"/>
  <c r="AK88" i="14" s="1"/>
  <c r="AK104" i="14" a="1"/>
  <c r="AK104" i="14" s="1"/>
  <c r="AK120" i="14" a="1"/>
  <c r="AK120" i="14" s="1"/>
  <c r="AK136" i="14" a="1"/>
  <c r="AK136" i="14" s="1"/>
  <c r="AK13" i="14" a="1"/>
  <c r="AK13" i="14" s="1"/>
  <c r="AK29" i="14" a="1"/>
  <c r="AK29" i="14" s="1"/>
  <c r="AK45" i="14" a="1"/>
  <c r="AK45" i="14" s="1"/>
  <c r="AK61" i="14" a="1"/>
  <c r="AK61" i="14" s="1"/>
  <c r="AK77" i="14" a="1"/>
  <c r="AK77" i="14" s="1"/>
  <c r="AK93" i="14" a="1"/>
  <c r="AK93" i="14" s="1"/>
  <c r="AK109" i="14" a="1"/>
  <c r="AK109" i="14" s="1"/>
  <c r="AK125" i="14" a="1"/>
  <c r="AK125" i="14" s="1"/>
  <c r="AK130" i="14" a="1"/>
  <c r="AK130" i="14" s="1"/>
  <c r="AK18" i="14" a="1"/>
  <c r="AK18" i="14" s="1"/>
  <c r="AK34" i="14" a="1"/>
  <c r="AK34" i="14" s="1"/>
  <c r="AK50" i="14" a="1"/>
  <c r="AK50" i="14" s="1"/>
  <c r="AK66" i="14" a="1"/>
  <c r="AK66" i="14" s="1"/>
  <c r="AK82" i="14" a="1"/>
  <c r="AK82" i="14" s="1"/>
  <c r="AK98" i="14" a="1"/>
  <c r="AK98" i="14" s="1"/>
  <c r="AK114" i="14" a="1"/>
  <c r="AK114" i="14" s="1"/>
  <c r="AK134" i="14" a="1"/>
  <c r="AK134" i="14" s="1"/>
  <c r="AJ15" i="14" a="1"/>
  <c r="AJ15" i="14" s="1"/>
  <c r="AJ31" i="14" a="1"/>
  <c r="AJ31" i="14" s="1"/>
  <c r="AJ47" i="14" a="1"/>
  <c r="AJ47" i="14" s="1"/>
  <c r="AJ63" i="14" a="1"/>
  <c r="AJ63" i="14" s="1"/>
  <c r="AJ79" i="14" a="1"/>
  <c r="AJ79" i="14" s="1"/>
  <c r="AJ95" i="14" a="1"/>
  <c r="AJ95" i="14" s="1"/>
  <c r="AJ111" i="14" a="1"/>
  <c r="AJ111" i="14" s="1"/>
  <c r="AJ127" i="14" a="1"/>
  <c r="AJ127" i="14" s="1"/>
  <c r="AJ4" i="14" a="1"/>
  <c r="AJ4" i="14" s="1"/>
  <c r="AJ20" i="14" a="1"/>
  <c r="AJ20" i="14" s="1"/>
  <c r="AJ36" i="14" a="1"/>
  <c r="AJ36" i="14" s="1"/>
  <c r="AJ52" i="14" a="1"/>
  <c r="AJ52" i="14" s="1"/>
  <c r="AJ68" i="14" a="1"/>
  <c r="AJ68" i="14" s="1"/>
  <c r="AJ84" i="14" a="1"/>
  <c r="AJ84" i="14" s="1"/>
  <c r="AJ100" i="14" a="1"/>
  <c r="AJ100" i="14" s="1"/>
  <c r="AJ116" i="14" a="1"/>
  <c r="AJ116" i="14" s="1"/>
  <c r="AJ132" i="14" a="1"/>
  <c r="AJ132" i="14" s="1"/>
  <c r="AJ13" i="14" a="1"/>
  <c r="AJ13" i="14" s="1"/>
  <c r="AJ29" i="14" a="1"/>
  <c r="AJ29" i="14" s="1"/>
  <c r="AJ45" i="14" a="1"/>
  <c r="AJ45" i="14" s="1"/>
  <c r="AJ61" i="14" a="1"/>
  <c r="AJ61" i="14" s="1"/>
  <c r="AJ77" i="14" a="1"/>
  <c r="AJ77" i="14" s="1"/>
  <c r="AJ93" i="14" a="1"/>
  <c r="AJ93" i="14" s="1"/>
  <c r="AJ109" i="14" a="1"/>
  <c r="AJ109" i="14" s="1"/>
  <c r="AJ125" i="14" a="1"/>
  <c r="AJ125" i="14" s="1"/>
  <c r="AJ130" i="14" a="1"/>
  <c r="AJ130" i="14" s="1"/>
  <c r="AJ18" i="14" a="1"/>
  <c r="AJ18" i="14" s="1"/>
  <c r="AJ34" i="14" a="1"/>
  <c r="AJ34" i="14" s="1"/>
  <c r="AJ50" i="14" a="1"/>
  <c r="AJ50" i="14" s="1"/>
  <c r="AJ66" i="14" a="1"/>
  <c r="AJ66" i="14" s="1"/>
  <c r="AJ82" i="14" a="1"/>
  <c r="AJ82" i="14" s="1"/>
  <c r="AJ98" i="14" a="1"/>
  <c r="AJ98" i="14" s="1"/>
  <c r="AJ114" i="14" a="1"/>
  <c r="AJ114" i="14" s="1"/>
  <c r="AH5" i="14" a="1"/>
  <c r="AH5" i="14" s="1"/>
  <c r="AL5" i="14" s="1"/>
  <c r="AH9" i="14" a="1"/>
  <c r="AH9" i="14" s="1"/>
  <c r="AL9" i="14" s="1"/>
  <c r="AH13" i="14" a="1"/>
  <c r="AH13" i="14" s="1"/>
  <c r="AL13" i="14" s="1"/>
  <c r="AH17" i="14" a="1"/>
  <c r="AH17" i="14" s="1"/>
  <c r="AL17" i="14" s="1"/>
  <c r="AH21" i="14" a="1"/>
  <c r="AH21" i="14" s="1"/>
  <c r="AL21" i="14" s="1"/>
  <c r="AH25" i="14" a="1"/>
  <c r="AH25" i="14" s="1"/>
  <c r="AL25" i="14" s="1"/>
  <c r="AH29" i="14" a="1"/>
  <c r="AH29" i="14" s="1"/>
  <c r="AL29" i="14" s="1"/>
  <c r="AH33" i="14" a="1"/>
  <c r="AH33" i="14" s="1"/>
  <c r="AL33" i="14" s="1"/>
  <c r="AH37" i="14" a="1"/>
  <c r="AH37" i="14" s="1"/>
  <c r="AL37" i="14" s="1"/>
  <c r="AH41" i="14" a="1"/>
  <c r="AH41" i="14" s="1"/>
  <c r="AL41" i="14" s="1"/>
  <c r="AH45" i="14" a="1"/>
  <c r="AH45" i="14" s="1"/>
  <c r="AL45" i="14" s="1"/>
  <c r="AH49" i="14" a="1"/>
  <c r="AH49" i="14" s="1"/>
  <c r="AL49" i="14" s="1"/>
  <c r="AH53" i="14" a="1"/>
  <c r="AH53" i="14" s="1"/>
  <c r="AL53" i="14" s="1"/>
  <c r="AH57" i="14" a="1"/>
  <c r="AH57" i="14" s="1"/>
  <c r="AL57" i="14" s="1"/>
  <c r="AH61" i="14" a="1"/>
  <c r="AH61" i="14" s="1"/>
  <c r="AL61" i="14" s="1"/>
  <c r="AH65" i="14" a="1"/>
  <c r="AH65" i="14" s="1"/>
  <c r="AL65" i="14" s="1"/>
  <c r="AH69" i="14" a="1"/>
  <c r="AH69" i="14" s="1"/>
  <c r="AL69" i="14" s="1"/>
  <c r="AH73" i="14" a="1"/>
  <c r="AH73" i="14" s="1"/>
  <c r="AL73" i="14" s="1"/>
  <c r="AH77" i="14" a="1"/>
  <c r="AH77" i="14" s="1"/>
  <c r="AL77" i="14" s="1"/>
  <c r="AH81" i="14" a="1"/>
  <c r="AH81" i="14" s="1"/>
  <c r="AL81" i="14" s="1"/>
  <c r="AH85" i="14" a="1"/>
  <c r="AH85" i="14" s="1"/>
  <c r="AL85" i="14" s="1"/>
  <c r="AH89" i="14" a="1"/>
  <c r="AH89" i="14" s="1"/>
  <c r="AL89" i="14" s="1"/>
  <c r="AH93" i="14" a="1"/>
  <c r="AH93" i="14" s="1"/>
  <c r="AL93" i="14" s="1"/>
  <c r="AH97" i="14" a="1"/>
  <c r="AH97" i="14" s="1"/>
  <c r="AL97" i="14" s="1"/>
  <c r="AH101" i="14" a="1"/>
  <c r="AH101" i="14" s="1"/>
  <c r="AL101" i="14" s="1"/>
  <c r="AH105" i="14" a="1"/>
  <c r="AH105" i="14" s="1"/>
  <c r="AL105" i="14" s="1"/>
  <c r="AH109" i="14" a="1"/>
  <c r="AH109" i="14" s="1"/>
  <c r="AL109" i="14" s="1"/>
  <c r="AH113" i="14" a="1"/>
  <c r="AH113" i="14" s="1"/>
  <c r="AL113" i="14" s="1"/>
  <c r="AH117" i="14" a="1"/>
  <c r="AH117" i="14" s="1"/>
  <c r="AL117" i="14" s="1"/>
  <c r="AH121" i="14" a="1"/>
  <c r="AH121" i="14" s="1"/>
  <c r="AL121" i="14" s="1"/>
  <c r="AH125" i="14" a="1"/>
  <c r="AH125" i="14" s="1"/>
  <c r="AL125" i="14" s="1"/>
  <c r="AH129" i="14" a="1"/>
  <c r="AH129" i="14" s="1"/>
  <c r="AL129" i="14" s="1"/>
  <c r="AH133" i="14" a="1"/>
  <c r="AH133" i="14" s="1"/>
  <c r="AL133" i="14" s="1"/>
  <c r="AH137" i="14" a="1"/>
  <c r="AH137" i="14" s="1"/>
  <c r="AL137" i="14" s="1"/>
  <c r="AG5" i="14" a="1"/>
  <c r="AG5" i="14" s="1"/>
  <c r="AI5" i="14" s="1"/>
  <c r="AG9" i="14" a="1"/>
  <c r="AG9" i="14" s="1"/>
  <c r="AI9" i="14" s="1"/>
  <c r="AG13" i="14" a="1"/>
  <c r="AG13" i="14" s="1"/>
  <c r="AI13" i="14" s="1"/>
  <c r="AG17" i="14" a="1"/>
  <c r="AG17" i="14" s="1"/>
  <c r="AI17" i="14" s="1"/>
  <c r="AG21" i="14" a="1"/>
  <c r="AG21" i="14" s="1"/>
  <c r="AI21" i="14" s="1"/>
  <c r="AG25" i="14" a="1"/>
  <c r="AG25" i="14" s="1"/>
  <c r="AI25" i="14" s="1"/>
  <c r="AG29" i="14" a="1"/>
  <c r="AG29" i="14" s="1"/>
  <c r="AI29" i="14" s="1"/>
  <c r="AG33" i="14" a="1"/>
  <c r="AG33" i="14" s="1"/>
  <c r="AI33" i="14" s="1"/>
  <c r="AG37" i="14" a="1"/>
  <c r="AG37" i="14" s="1"/>
  <c r="AI37" i="14" s="1"/>
  <c r="AG41" i="14" a="1"/>
  <c r="AG41" i="14" s="1"/>
  <c r="AI41" i="14" s="1"/>
  <c r="AG45" i="14" a="1"/>
  <c r="AG45" i="14" s="1"/>
  <c r="AI45" i="14" s="1"/>
  <c r="AG49" i="14" a="1"/>
  <c r="AG49" i="14" s="1"/>
  <c r="AI49" i="14" s="1"/>
  <c r="AG53" i="14" a="1"/>
  <c r="AG53" i="14" s="1"/>
  <c r="AI53" i="14" s="1"/>
  <c r="AG57" i="14" a="1"/>
  <c r="AG57" i="14" s="1"/>
  <c r="AI57" i="14" s="1"/>
  <c r="AG61" i="14" a="1"/>
  <c r="AG61" i="14" s="1"/>
  <c r="AI61" i="14" s="1"/>
  <c r="AG65" i="14" a="1"/>
  <c r="AG65" i="14" s="1"/>
  <c r="AI65" i="14" s="1"/>
  <c r="AG69" i="14" a="1"/>
  <c r="AG69" i="14" s="1"/>
  <c r="AI69" i="14" s="1"/>
  <c r="AG73" i="14" a="1"/>
  <c r="AG73" i="14" s="1"/>
  <c r="AI73" i="14" s="1"/>
  <c r="AG77" i="14" a="1"/>
  <c r="AG77" i="14" s="1"/>
  <c r="AI77" i="14" s="1"/>
  <c r="AG81" i="14" a="1"/>
  <c r="AG81" i="14" s="1"/>
  <c r="AI81" i="14" s="1"/>
  <c r="AG85" i="14" a="1"/>
  <c r="AG85" i="14" s="1"/>
  <c r="AI85" i="14" s="1"/>
  <c r="AG89" i="14" a="1"/>
  <c r="AG89" i="14" s="1"/>
  <c r="AI89" i="14" s="1"/>
  <c r="AG93" i="14" a="1"/>
  <c r="AG93" i="14" s="1"/>
  <c r="AI93" i="14" s="1"/>
  <c r="AG97" i="14" a="1"/>
  <c r="AG97" i="14" s="1"/>
  <c r="AI97" i="14" s="1"/>
  <c r="AG101" i="14" a="1"/>
  <c r="AG101" i="14" s="1"/>
  <c r="AI101" i="14" s="1"/>
  <c r="AG105" i="14" a="1"/>
  <c r="AG105" i="14" s="1"/>
  <c r="AI105" i="14" s="1"/>
  <c r="AG109" i="14" a="1"/>
  <c r="AG109" i="14" s="1"/>
  <c r="AI109" i="14" s="1"/>
  <c r="AG113" i="14" a="1"/>
  <c r="AG113" i="14" s="1"/>
  <c r="AI113" i="14" s="1"/>
  <c r="AG117" i="14" a="1"/>
  <c r="AG117" i="14" s="1"/>
  <c r="AI117" i="14" s="1"/>
  <c r="AG121" i="14" a="1"/>
  <c r="AG121" i="14" s="1"/>
  <c r="AI121" i="14" s="1"/>
  <c r="AG125" i="14" a="1"/>
  <c r="AG125" i="14" s="1"/>
  <c r="AI125" i="14" s="1"/>
  <c r="AG129" i="14" a="1"/>
  <c r="AG129" i="14" s="1"/>
  <c r="AI129" i="14" s="1"/>
  <c r="AG133" i="14" a="1"/>
  <c r="AG133" i="14" s="1"/>
  <c r="AI133" i="14" s="1"/>
  <c r="AG137" i="14" a="1"/>
  <c r="AG137" i="14" s="1"/>
  <c r="AI137" i="14" s="1"/>
  <c r="AH6" i="14" a="1"/>
  <c r="AH6" i="14" s="1"/>
  <c r="AL6" i="14" s="1"/>
  <c r="AH10" i="14" a="1"/>
  <c r="AH10" i="14" s="1"/>
  <c r="AL10" i="14" s="1"/>
  <c r="AH14" i="14" a="1"/>
  <c r="AH14" i="14" s="1"/>
  <c r="AL14" i="14" s="1"/>
  <c r="AH18" i="14" a="1"/>
  <c r="AH18" i="14" s="1"/>
  <c r="AL18" i="14" s="1"/>
  <c r="AH22" i="14" a="1"/>
  <c r="AH22" i="14" s="1"/>
  <c r="AL22" i="14" s="1"/>
  <c r="AH26" i="14" a="1"/>
  <c r="AH26" i="14" s="1"/>
  <c r="AL26" i="14" s="1"/>
  <c r="AH30" i="14" a="1"/>
  <c r="AH30" i="14" s="1"/>
  <c r="AL30" i="14" s="1"/>
  <c r="AH34" i="14" a="1"/>
  <c r="AH34" i="14" s="1"/>
  <c r="AL34" i="14" s="1"/>
  <c r="AH38" i="14" a="1"/>
  <c r="AH38" i="14" s="1"/>
  <c r="AL38" i="14" s="1"/>
  <c r="AH42" i="14" a="1"/>
  <c r="AH42" i="14" s="1"/>
  <c r="AL42" i="14" s="1"/>
  <c r="AH46" i="14" a="1"/>
  <c r="AH46" i="14" s="1"/>
  <c r="AL46" i="14" s="1"/>
  <c r="AH50" i="14" a="1"/>
  <c r="AH50" i="14" s="1"/>
  <c r="AL50" i="14" s="1"/>
  <c r="AH54" i="14" a="1"/>
  <c r="AH54" i="14" s="1"/>
  <c r="AL54" i="14" s="1"/>
  <c r="AH58" i="14" a="1"/>
  <c r="AH58" i="14" s="1"/>
  <c r="AL58" i="14" s="1"/>
  <c r="AH62" i="14" a="1"/>
  <c r="AH62" i="14" s="1"/>
  <c r="AL62" i="14" s="1"/>
  <c r="AH66" i="14" a="1"/>
  <c r="AH66" i="14" s="1"/>
  <c r="AL66" i="14" s="1"/>
  <c r="AH70" i="14" a="1"/>
  <c r="AH70" i="14" s="1"/>
  <c r="AL70" i="14" s="1"/>
  <c r="AH74" i="14" a="1"/>
  <c r="AH74" i="14" s="1"/>
  <c r="AL74" i="14" s="1"/>
  <c r="AH78" i="14" a="1"/>
  <c r="AH78" i="14" s="1"/>
  <c r="AL78" i="14" s="1"/>
  <c r="AH82" i="14" a="1"/>
  <c r="AH82" i="14" s="1"/>
  <c r="AL82" i="14" s="1"/>
  <c r="AH86" i="14" a="1"/>
  <c r="AH86" i="14" s="1"/>
  <c r="AL86" i="14" s="1"/>
  <c r="AH90" i="14" a="1"/>
  <c r="AH90" i="14" s="1"/>
  <c r="AL90" i="14" s="1"/>
  <c r="AH94" i="14" a="1"/>
  <c r="AH94" i="14" s="1"/>
  <c r="AL94" i="14" s="1"/>
  <c r="AH98" i="14" a="1"/>
  <c r="AH98" i="14" s="1"/>
  <c r="AL98" i="14" s="1"/>
  <c r="AH102" i="14" a="1"/>
  <c r="AH102" i="14" s="1"/>
  <c r="AL102" i="14" s="1"/>
  <c r="AH106" i="14" a="1"/>
  <c r="AH106" i="14" s="1"/>
  <c r="AL106" i="14" s="1"/>
  <c r="AH110" i="14" a="1"/>
  <c r="AH110" i="14" s="1"/>
  <c r="AL110" i="14" s="1"/>
  <c r="AH114" i="14" a="1"/>
  <c r="AH114" i="14" s="1"/>
  <c r="AL114" i="14" s="1"/>
  <c r="AH118" i="14" a="1"/>
  <c r="AH118" i="14" s="1"/>
  <c r="AL118" i="14" s="1"/>
  <c r="AH122" i="14" a="1"/>
  <c r="AH122" i="14" s="1"/>
  <c r="AL122" i="14" s="1"/>
  <c r="AH126" i="14" a="1"/>
  <c r="AH126" i="14" s="1"/>
  <c r="AL126" i="14" s="1"/>
  <c r="AH130" i="14" a="1"/>
  <c r="AH130" i="14" s="1"/>
  <c r="AL130" i="14" s="1"/>
  <c r="AH134" i="14" a="1"/>
  <c r="AH134" i="14" s="1"/>
  <c r="AL134" i="14" s="1"/>
  <c r="AH138" i="14" a="1"/>
  <c r="AH138" i="14" s="1"/>
  <c r="AL138" i="14" s="1"/>
  <c r="AG6" i="14" a="1"/>
  <c r="AG6" i="14" s="1"/>
  <c r="AI6" i="14" s="1"/>
  <c r="AG10" i="14" a="1"/>
  <c r="AG10" i="14" s="1"/>
  <c r="AI10" i="14" s="1"/>
  <c r="AG14" i="14" a="1"/>
  <c r="AG14" i="14" s="1"/>
  <c r="AI14" i="14" s="1"/>
  <c r="AG18" i="14" a="1"/>
  <c r="AG18" i="14" s="1"/>
  <c r="AI18" i="14" s="1"/>
  <c r="AG22" i="14" a="1"/>
  <c r="AG22" i="14" s="1"/>
  <c r="AI22" i="14" s="1"/>
  <c r="AG26" i="14" a="1"/>
  <c r="AG26" i="14" s="1"/>
  <c r="AI26" i="14" s="1"/>
  <c r="AG30" i="14" a="1"/>
  <c r="AG30" i="14" s="1"/>
  <c r="AI30" i="14" s="1"/>
  <c r="AG34" i="14" a="1"/>
  <c r="AG34" i="14" s="1"/>
  <c r="AI34" i="14" s="1"/>
  <c r="AG38" i="14" a="1"/>
  <c r="AG38" i="14" s="1"/>
  <c r="AI38" i="14" s="1"/>
  <c r="AG42" i="14" a="1"/>
  <c r="AG42" i="14" s="1"/>
  <c r="AI42" i="14" s="1"/>
  <c r="AG46" i="14" a="1"/>
  <c r="AG46" i="14" s="1"/>
  <c r="AI46" i="14" s="1"/>
  <c r="AG50" i="14" a="1"/>
  <c r="AG50" i="14" s="1"/>
  <c r="AI50" i="14" s="1"/>
  <c r="AG54" i="14" a="1"/>
  <c r="AG54" i="14" s="1"/>
  <c r="AI54" i="14" s="1"/>
  <c r="AG58" i="14" a="1"/>
  <c r="AG58" i="14" s="1"/>
  <c r="AI58" i="14" s="1"/>
  <c r="AG62" i="14" a="1"/>
  <c r="AG62" i="14" s="1"/>
  <c r="AI62" i="14" s="1"/>
  <c r="AG66" i="14" a="1"/>
  <c r="AG66" i="14" s="1"/>
  <c r="AI66" i="14" s="1"/>
  <c r="AG70" i="14" a="1"/>
  <c r="AG70" i="14" s="1"/>
  <c r="AI70" i="14" s="1"/>
  <c r="AG74" i="14" a="1"/>
  <c r="AG74" i="14" s="1"/>
  <c r="AI74" i="14" s="1"/>
  <c r="AG78" i="14" a="1"/>
  <c r="AG78" i="14" s="1"/>
  <c r="AI78" i="14" s="1"/>
  <c r="AG82" i="14" a="1"/>
  <c r="AG82" i="14" s="1"/>
  <c r="AI82" i="14" s="1"/>
  <c r="AG86" i="14" a="1"/>
  <c r="AG86" i="14" s="1"/>
  <c r="AI86" i="14" s="1"/>
  <c r="AG90" i="14" a="1"/>
  <c r="AG90" i="14" s="1"/>
  <c r="AI90" i="14" s="1"/>
  <c r="AG94" i="14" a="1"/>
  <c r="AG94" i="14" s="1"/>
  <c r="AI94" i="14" s="1"/>
  <c r="AG98" i="14" a="1"/>
  <c r="AG98" i="14" s="1"/>
  <c r="AI98" i="14" s="1"/>
  <c r="AG102" i="14" a="1"/>
  <c r="AG102" i="14" s="1"/>
  <c r="AI102" i="14" s="1"/>
  <c r="AG106" i="14" a="1"/>
  <c r="AG106" i="14" s="1"/>
  <c r="AI106" i="14" s="1"/>
  <c r="AG110" i="14" a="1"/>
  <c r="AG110" i="14" s="1"/>
  <c r="AI110" i="14" s="1"/>
  <c r="AG114" i="14" a="1"/>
  <c r="AG114" i="14" s="1"/>
  <c r="AI114" i="14" s="1"/>
  <c r="AG118" i="14" a="1"/>
  <c r="AG118" i="14" s="1"/>
  <c r="AI118" i="14" s="1"/>
  <c r="AG122" i="14" a="1"/>
  <c r="AG122" i="14" s="1"/>
  <c r="AI122" i="14" s="1"/>
  <c r="AG126" i="14" a="1"/>
  <c r="AG126" i="14" s="1"/>
  <c r="AI126" i="14" s="1"/>
  <c r="AG130" i="14" a="1"/>
  <c r="AG130" i="14" s="1"/>
  <c r="AI130" i="14" s="1"/>
  <c r="AG134" i="14" a="1"/>
  <c r="AG134" i="14" s="1"/>
  <c r="AI134" i="14" s="1"/>
  <c r="AG138" i="14" a="1"/>
  <c r="AG138" i="14" s="1"/>
  <c r="AI138" i="14" s="1"/>
  <c r="AG131" i="14" a="1"/>
  <c r="AG131" i="14" s="1"/>
  <c r="AI131" i="14" s="1"/>
  <c r="AH3" i="14" a="1"/>
  <c r="AH3" i="14" s="1"/>
  <c r="AL3" i="14" s="1"/>
  <c r="AH7" i="14" a="1"/>
  <c r="AH7" i="14" s="1"/>
  <c r="AL7" i="14" s="1"/>
  <c r="AH11" i="14" a="1"/>
  <c r="AH11" i="14" s="1"/>
  <c r="AL11" i="14" s="1"/>
  <c r="AH15" i="14" a="1"/>
  <c r="AH15" i="14" s="1"/>
  <c r="AH19" i="14" a="1"/>
  <c r="AH19" i="14" s="1"/>
  <c r="AL19" i="14" s="1"/>
  <c r="AH23" i="14" a="1"/>
  <c r="AH23" i="14" s="1"/>
  <c r="AL23" i="14" s="1"/>
  <c r="AH27" i="14" a="1"/>
  <c r="AH27" i="14" s="1"/>
  <c r="AL27" i="14" s="1"/>
  <c r="AH31" i="14" a="1"/>
  <c r="AH31" i="14" s="1"/>
  <c r="AL31" i="14" s="1"/>
  <c r="AH35" i="14" a="1"/>
  <c r="AH35" i="14" s="1"/>
  <c r="AL35" i="14" s="1"/>
  <c r="AH39" i="14" a="1"/>
  <c r="AH39" i="14" s="1"/>
  <c r="AL39" i="14" s="1"/>
  <c r="AH43" i="14" a="1"/>
  <c r="AH43" i="14" s="1"/>
  <c r="AL43" i="14" s="1"/>
  <c r="AH47" i="14" a="1"/>
  <c r="AH47" i="14" s="1"/>
  <c r="AL47" i="14" s="1"/>
  <c r="AH51" i="14" a="1"/>
  <c r="AH51" i="14" s="1"/>
  <c r="AL51" i="14" s="1"/>
  <c r="AH55" i="14" a="1"/>
  <c r="AH55" i="14" s="1"/>
  <c r="AL55" i="14" s="1"/>
  <c r="AH59" i="14" a="1"/>
  <c r="AH59" i="14" s="1"/>
  <c r="AL59" i="14" s="1"/>
  <c r="AH63" i="14" a="1"/>
  <c r="AH63" i="14" s="1"/>
  <c r="AL63" i="14" s="1"/>
  <c r="AH67" i="14" a="1"/>
  <c r="AH67" i="14" s="1"/>
  <c r="AL67" i="14" s="1"/>
  <c r="AH71" i="14" a="1"/>
  <c r="AH71" i="14" s="1"/>
  <c r="AL71" i="14" s="1"/>
  <c r="AH75" i="14" a="1"/>
  <c r="AH75" i="14" s="1"/>
  <c r="AL75" i="14" s="1"/>
  <c r="AH79" i="14" a="1"/>
  <c r="AH79" i="14" s="1"/>
  <c r="AL79" i="14" s="1"/>
  <c r="AH83" i="14" a="1"/>
  <c r="AH83" i="14" s="1"/>
  <c r="AL83" i="14" s="1"/>
  <c r="AH87" i="14" a="1"/>
  <c r="AH87" i="14" s="1"/>
  <c r="AL87" i="14" s="1"/>
  <c r="AH91" i="14" a="1"/>
  <c r="AH91" i="14" s="1"/>
  <c r="AL91" i="14" s="1"/>
  <c r="AH95" i="14" a="1"/>
  <c r="AH95" i="14" s="1"/>
  <c r="AL95" i="14" s="1"/>
  <c r="AH99" i="14" a="1"/>
  <c r="AH99" i="14" s="1"/>
  <c r="AL99" i="14" s="1"/>
  <c r="AH103" i="14" a="1"/>
  <c r="AH103" i="14" s="1"/>
  <c r="AL103" i="14" s="1"/>
  <c r="AH107" i="14" a="1"/>
  <c r="AH107" i="14" s="1"/>
  <c r="AL107" i="14" s="1"/>
  <c r="AH111" i="14" a="1"/>
  <c r="AH111" i="14" s="1"/>
  <c r="AL111" i="14" s="1"/>
  <c r="AH115" i="14" a="1"/>
  <c r="AH115" i="14" s="1"/>
  <c r="AL115" i="14" s="1"/>
  <c r="AH119" i="14" a="1"/>
  <c r="AH119" i="14" s="1"/>
  <c r="AL119" i="14" s="1"/>
  <c r="AH123" i="14" a="1"/>
  <c r="AH123" i="14" s="1"/>
  <c r="AL123" i="14" s="1"/>
  <c r="AH127" i="14" a="1"/>
  <c r="AH127" i="14" s="1"/>
  <c r="AL127" i="14" s="1"/>
  <c r="AH131" i="14" a="1"/>
  <c r="AH131" i="14" s="1"/>
  <c r="AL131" i="14" s="1"/>
  <c r="AH135" i="14" a="1"/>
  <c r="AH135" i="14" s="1"/>
  <c r="AL135" i="14" s="1"/>
  <c r="AG3" i="14" a="1"/>
  <c r="AG3" i="14" s="1"/>
  <c r="AI3" i="14" s="1"/>
  <c r="AG7" i="14" a="1"/>
  <c r="AG7" i="14" s="1"/>
  <c r="AI7" i="14" s="1"/>
  <c r="AG11" i="14" a="1"/>
  <c r="AG11" i="14" s="1"/>
  <c r="AI11" i="14" s="1"/>
  <c r="AG15" i="14" a="1"/>
  <c r="AG15" i="14" s="1"/>
  <c r="AG19" i="14" a="1"/>
  <c r="AG19" i="14" s="1"/>
  <c r="AI19" i="14" s="1"/>
  <c r="AG23" i="14" a="1"/>
  <c r="AG23" i="14" s="1"/>
  <c r="AI23" i="14" s="1"/>
  <c r="AG27" i="14" a="1"/>
  <c r="AG27" i="14" s="1"/>
  <c r="AI27" i="14" s="1"/>
  <c r="AG31" i="14" a="1"/>
  <c r="AG31" i="14" s="1"/>
  <c r="AI31" i="14" s="1"/>
  <c r="AG35" i="14" a="1"/>
  <c r="AG35" i="14" s="1"/>
  <c r="AI35" i="14" s="1"/>
  <c r="AG39" i="14" a="1"/>
  <c r="AG39" i="14" s="1"/>
  <c r="AI39" i="14" s="1"/>
  <c r="AG43" i="14" a="1"/>
  <c r="AG43" i="14" s="1"/>
  <c r="AI43" i="14" s="1"/>
  <c r="AG47" i="14" a="1"/>
  <c r="AG47" i="14" s="1"/>
  <c r="AI47" i="14" s="1"/>
  <c r="AG51" i="14" a="1"/>
  <c r="AG51" i="14" s="1"/>
  <c r="AI51" i="14" s="1"/>
  <c r="AG55" i="14" a="1"/>
  <c r="AG55" i="14" s="1"/>
  <c r="AI55" i="14" s="1"/>
  <c r="AG59" i="14" a="1"/>
  <c r="AG59" i="14" s="1"/>
  <c r="AI59" i="14" s="1"/>
  <c r="AG63" i="14" a="1"/>
  <c r="AG63" i="14" s="1"/>
  <c r="AI63" i="14" s="1"/>
  <c r="AG67" i="14" a="1"/>
  <c r="AG67" i="14" s="1"/>
  <c r="AI67" i="14" s="1"/>
  <c r="AG71" i="14" a="1"/>
  <c r="AG71" i="14" s="1"/>
  <c r="AI71" i="14" s="1"/>
  <c r="AG75" i="14" a="1"/>
  <c r="AG75" i="14" s="1"/>
  <c r="AI75" i="14" s="1"/>
  <c r="AG79" i="14" a="1"/>
  <c r="AG79" i="14" s="1"/>
  <c r="AI79" i="14" s="1"/>
  <c r="AG83" i="14" a="1"/>
  <c r="AG83" i="14" s="1"/>
  <c r="AI83" i="14" s="1"/>
  <c r="AG87" i="14" a="1"/>
  <c r="AG87" i="14" s="1"/>
  <c r="AI87" i="14" s="1"/>
  <c r="AG91" i="14" a="1"/>
  <c r="AG91" i="14" s="1"/>
  <c r="AI91" i="14" s="1"/>
  <c r="AG95" i="14" a="1"/>
  <c r="AG95" i="14" s="1"/>
  <c r="AI95" i="14" s="1"/>
  <c r="AG99" i="14" a="1"/>
  <c r="AG99" i="14" s="1"/>
  <c r="AI99" i="14" s="1"/>
  <c r="AG103" i="14" a="1"/>
  <c r="AG103" i="14" s="1"/>
  <c r="AI103" i="14" s="1"/>
  <c r="AG107" i="14" a="1"/>
  <c r="AG107" i="14" s="1"/>
  <c r="AI107" i="14" s="1"/>
  <c r="AG111" i="14" a="1"/>
  <c r="AG111" i="14" s="1"/>
  <c r="AI111" i="14" s="1"/>
  <c r="AG115" i="14" a="1"/>
  <c r="AG115" i="14" s="1"/>
  <c r="AI115" i="14" s="1"/>
  <c r="AG119" i="14" a="1"/>
  <c r="AG119" i="14" s="1"/>
  <c r="AI119" i="14" s="1"/>
  <c r="AG123" i="14" a="1"/>
  <c r="AG123" i="14" s="1"/>
  <c r="AI123" i="14" s="1"/>
  <c r="AG135" i="14" a="1"/>
  <c r="AG135" i="14" s="1"/>
  <c r="AI135" i="14" s="1"/>
  <c r="AH4" i="14" a="1"/>
  <c r="AH4" i="14" s="1"/>
  <c r="AL4" i="14" s="1"/>
  <c r="AH8" i="14" a="1"/>
  <c r="AH8" i="14" s="1"/>
  <c r="AL8" i="14" s="1"/>
  <c r="AH12" i="14" a="1"/>
  <c r="AH12" i="14" s="1"/>
  <c r="AL12" i="14" s="1"/>
  <c r="AH16" i="14" a="1"/>
  <c r="AH16" i="14" s="1"/>
  <c r="AL16" i="14" s="1"/>
  <c r="AH20" i="14" a="1"/>
  <c r="AH20" i="14" s="1"/>
  <c r="AL20" i="14" s="1"/>
  <c r="AH24" i="14" a="1"/>
  <c r="AH24" i="14" s="1"/>
  <c r="AL24" i="14" s="1"/>
  <c r="AH28" i="14" a="1"/>
  <c r="AH28" i="14" s="1"/>
  <c r="AL28" i="14" s="1"/>
  <c r="AH32" i="14" a="1"/>
  <c r="AH32" i="14" s="1"/>
  <c r="AL32" i="14" s="1"/>
  <c r="AH36" i="14" a="1"/>
  <c r="AH36" i="14" s="1"/>
  <c r="AL36" i="14" s="1"/>
  <c r="AH40" i="14" a="1"/>
  <c r="AH40" i="14" s="1"/>
  <c r="AL40" i="14" s="1"/>
  <c r="AH44" i="14" a="1"/>
  <c r="AH44" i="14" s="1"/>
  <c r="AL44" i="14" s="1"/>
  <c r="AH48" i="14" a="1"/>
  <c r="AH48" i="14" s="1"/>
  <c r="AL48" i="14" s="1"/>
  <c r="AH52" i="14" a="1"/>
  <c r="AH52" i="14" s="1"/>
  <c r="AL52" i="14" s="1"/>
  <c r="AH56" i="14" a="1"/>
  <c r="AH56" i="14" s="1"/>
  <c r="AL56" i="14" s="1"/>
  <c r="AH60" i="14" a="1"/>
  <c r="AH60" i="14" s="1"/>
  <c r="AL60" i="14" s="1"/>
  <c r="AH64" i="14" a="1"/>
  <c r="AH64" i="14" s="1"/>
  <c r="AL64" i="14" s="1"/>
  <c r="AH68" i="14" a="1"/>
  <c r="AH68" i="14" s="1"/>
  <c r="AL68" i="14" s="1"/>
  <c r="AH72" i="14" a="1"/>
  <c r="AH72" i="14" s="1"/>
  <c r="AL72" i="14" s="1"/>
  <c r="AH76" i="14" a="1"/>
  <c r="AH76" i="14" s="1"/>
  <c r="AL76" i="14" s="1"/>
  <c r="AH80" i="14" a="1"/>
  <c r="AH80" i="14" s="1"/>
  <c r="AL80" i="14" s="1"/>
  <c r="AH84" i="14" a="1"/>
  <c r="AH84" i="14" s="1"/>
  <c r="AL84" i="14" s="1"/>
  <c r="AH88" i="14" a="1"/>
  <c r="AH88" i="14" s="1"/>
  <c r="AL88" i="14" s="1"/>
  <c r="AH92" i="14" a="1"/>
  <c r="AH92" i="14" s="1"/>
  <c r="AL92" i="14" s="1"/>
  <c r="AH96" i="14" a="1"/>
  <c r="AH96" i="14" s="1"/>
  <c r="AL96" i="14" s="1"/>
  <c r="AH100" i="14" a="1"/>
  <c r="AH100" i="14" s="1"/>
  <c r="AL100" i="14" s="1"/>
  <c r="AH104" i="14" a="1"/>
  <c r="AH104" i="14" s="1"/>
  <c r="AL104" i="14" s="1"/>
  <c r="AH108" i="14" a="1"/>
  <c r="AH108" i="14" s="1"/>
  <c r="AL108" i="14" s="1"/>
  <c r="AH112" i="14" a="1"/>
  <c r="AH112" i="14" s="1"/>
  <c r="AL112" i="14" s="1"/>
  <c r="AH116" i="14" a="1"/>
  <c r="AH116" i="14" s="1"/>
  <c r="AL116" i="14" s="1"/>
  <c r="AH120" i="14" a="1"/>
  <c r="AH120" i="14" s="1"/>
  <c r="AL120" i="14" s="1"/>
  <c r="AH124" i="14" a="1"/>
  <c r="AH124" i="14" s="1"/>
  <c r="AL124" i="14" s="1"/>
  <c r="AH128" i="14" a="1"/>
  <c r="AH128" i="14" s="1"/>
  <c r="AL128" i="14" s="1"/>
  <c r="AH132" i="14" a="1"/>
  <c r="AH132" i="14" s="1"/>
  <c r="AL132" i="14" s="1"/>
  <c r="AH136" i="14" a="1"/>
  <c r="AH136" i="14" s="1"/>
  <c r="AL136" i="14" s="1"/>
  <c r="AG4" i="14" a="1"/>
  <c r="AG4" i="14" s="1"/>
  <c r="AI4" i="14" s="1"/>
  <c r="AG8" i="14" a="1"/>
  <c r="AG8" i="14" s="1"/>
  <c r="AI8" i="14" s="1"/>
  <c r="AG12" i="14" a="1"/>
  <c r="AG12" i="14" s="1"/>
  <c r="AI12" i="14" s="1"/>
  <c r="AG16" i="14" a="1"/>
  <c r="AG16" i="14" s="1"/>
  <c r="AI16" i="14" s="1"/>
  <c r="AG20" i="14" a="1"/>
  <c r="AG20" i="14" s="1"/>
  <c r="AI20" i="14" s="1"/>
  <c r="AG24" i="14" a="1"/>
  <c r="AG24" i="14" s="1"/>
  <c r="AI24" i="14" s="1"/>
  <c r="AG28" i="14" a="1"/>
  <c r="AG28" i="14" s="1"/>
  <c r="AI28" i="14" s="1"/>
  <c r="AG32" i="14" a="1"/>
  <c r="AG32" i="14" s="1"/>
  <c r="AI32" i="14" s="1"/>
  <c r="AG36" i="14" a="1"/>
  <c r="AG36" i="14" s="1"/>
  <c r="AI36" i="14" s="1"/>
  <c r="AG40" i="14" a="1"/>
  <c r="AG40" i="14" s="1"/>
  <c r="AI40" i="14" s="1"/>
  <c r="AG44" i="14" a="1"/>
  <c r="AG44" i="14" s="1"/>
  <c r="AI44" i="14" s="1"/>
  <c r="AG48" i="14" a="1"/>
  <c r="AG48" i="14" s="1"/>
  <c r="AI48" i="14" s="1"/>
  <c r="AG52" i="14" a="1"/>
  <c r="AG52" i="14" s="1"/>
  <c r="AI52" i="14" s="1"/>
  <c r="AG56" i="14" a="1"/>
  <c r="AG56" i="14" s="1"/>
  <c r="AI56" i="14" s="1"/>
  <c r="AG60" i="14" a="1"/>
  <c r="AG60" i="14" s="1"/>
  <c r="AI60" i="14" s="1"/>
  <c r="AG64" i="14" a="1"/>
  <c r="AG64" i="14" s="1"/>
  <c r="AI64" i="14" s="1"/>
  <c r="AG68" i="14" a="1"/>
  <c r="AG68" i="14" s="1"/>
  <c r="AI68" i="14" s="1"/>
  <c r="AG72" i="14" a="1"/>
  <c r="AG72" i="14" s="1"/>
  <c r="AI72" i="14" s="1"/>
  <c r="AG76" i="14" a="1"/>
  <c r="AG76" i="14" s="1"/>
  <c r="AI76" i="14" s="1"/>
  <c r="AG80" i="14" a="1"/>
  <c r="AG80" i="14" s="1"/>
  <c r="AI80" i="14" s="1"/>
  <c r="AG84" i="14" a="1"/>
  <c r="AG84" i="14" s="1"/>
  <c r="AI84" i="14" s="1"/>
  <c r="AG88" i="14" a="1"/>
  <c r="AG88" i="14" s="1"/>
  <c r="AI88" i="14" s="1"/>
  <c r="AG92" i="14" a="1"/>
  <c r="AG92" i="14" s="1"/>
  <c r="AI92" i="14" s="1"/>
  <c r="AG96" i="14" a="1"/>
  <c r="AG96" i="14" s="1"/>
  <c r="AI96" i="14" s="1"/>
  <c r="AG100" i="14" a="1"/>
  <c r="AG100" i="14" s="1"/>
  <c r="AI100" i="14" s="1"/>
  <c r="AG104" i="14" a="1"/>
  <c r="AG104" i="14" s="1"/>
  <c r="AI104" i="14" s="1"/>
  <c r="AG108" i="14" a="1"/>
  <c r="AG108" i="14" s="1"/>
  <c r="AI108" i="14" s="1"/>
  <c r="AG112" i="14" a="1"/>
  <c r="AG112" i="14" s="1"/>
  <c r="AI112" i="14" s="1"/>
  <c r="AG116" i="14" a="1"/>
  <c r="AG116" i="14" s="1"/>
  <c r="AI116" i="14" s="1"/>
  <c r="AG120" i="14" a="1"/>
  <c r="AG120" i="14" s="1"/>
  <c r="AI120" i="14" s="1"/>
  <c r="AG124" i="14" a="1"/>
  <c r="AG124" i="14" s="1"/>
  <c r="AI124" i="14" s="1"/>
  <c r="AG128" i="14" a="1"/>
  <c r="AG128" i="14" s="1"/>
  <c r="AI128" i="14" s="1"/>
  <c r="AG132" i="14" a="1"/>
  <c r="AG132" i="14" s="1"/>
  <c r="AI132" i="14" s="1"/>
  <c r="AG136" i="14" a="1"/>
  <c r="AG136" i="14" s="1"/>
  <c r="AI136" i="14" s="1"/>
  <c r="AG127" i="14" a="1"/>
  <c r="AG127" i="14" s="1"/>
  <c r="AI127" i="14" s="1"/>
  <c r="T4" i="11"/>
  <c r="W4" i="11" s="1" a="1"/>
  <c r="W4" i="11" s="1"/>
  <c r="V4" i="11"/>
  <c r="AM13" i="14" l="1"/>
  <c r="AM52" i="14"/>
  <c r="AM123" i="14"/>
  <c r="AM107" i="14"/>
  <c r="AM91" i="14"/>
  <c r="AM43" i="14"/>
  <c r="AM27" i="14"/>
  <c r="AM11" i="14"/>
  <c r="AM73" i="14"/>
  <c r="AM57" i="14"/>
  <c r="AM135" i="14"/>
  <c r="AM119" i="14"/>
  <c r="AM103" i="14"/>
  <c r="AM87" i="14"/>
  <c r="AM55" i="14"/>
  <c r="AM23" i="14"/>
  <c r="AM70" i="14"/>
  <c r="AM54" i="14"/>
  <c r="AM38" i="14"/>
  <c r="AM22" i="14"/>
  <c r="AM128" i="14"/>
  <c r="AM125" i="14"/>
  <c r="AM109" i="14"/>
  <c r="AM93" i="14"/>
  <c r="AM77" i="14"/>
  <c r="AM61" i="14"/>
  <c r="AM45" i="14"/>
  <c r="AM29" i="14"/>
  <c r="AM116" i="14"/>
  <c r="AM100" i="14"/>
  <c r="AM84" i="14"/>
  <c r="AM68" i="14"/>
  <c r="AM36" i="14"/>
  <c r="AM20" i="14"/>
  <c r="AM75" i="14"/>
  <c r="AM59" i="14"/>
  <c r="AM138" i="14"/>
  <c r="AM122" i="14"/>
  <c r="AM106" i="14"/>
  <c r="AM90" i="14"/>
  <c r="AM74" i="14"/>
  <c r="AM58" i="14"/>
  <c r="AM42" i="14"/>
  <c r="AM26" i="14"/>
  <c r="AM137" i="14"/>
  <c r="AM121" i="14"/>
  <c r="AM105" i="14"/>
  <c r="AM89" i="14"/>
  <c r="AM41" i="14"/>
  <c r="AM25" i="14"/>
  <c r="AM136" i="14"/>
  <c r="AM112" i="14"/>
  <c r="AM96" i="14"/>
  <c r="AM80" i="14"/>
  <c r="AM64" i="14"/>
  <c r="AM48" i="14"/>
  <c r="AM32" i="14"/>
  <c r="AM71" i="14"/>
  <c r="AM39" i="14"/>
  <c r="AM134" i="14"/>
  <c r="AM118" i="14"/>
  <c r="AM102" i="14"/>
  <c r="AM86" i="14"/>
  <c r="AM133" i="14"/>
  <c r="AM117" i="14"/>
  <c r="AM101" i="14"/>
  <c r="AM85" i="14"/>
  <c r="AM69" i="14"/>
  <c r="AM53" i="14"/>
  <c r="AM37" i="14"/>
  <c r="AM21" i="14"/>
  <c r="AM124" i="14"/>
  <c r="AM108" i="14"/>
  <c r="AM92" i="14"/>
  <c r="AM76" i="14"/>
  <c r="AM60" i="14"/>
  <c r="AM44" i="14"/>
  <c r="AM28" i="14"/>
  <c r="AM12" i="14"/>
  <c r="AM131" i="14"/>
  <c r="AM115" i="14"/>
  <c r="AM99" i="14"/>
  <c r="AM83" i="14"/>
  <c r="AM67" i="14"/>
  <c r="AM51" i="14"/>
  <c r="AM35" i="14"/>
  <c r="AM19" i="14"/>
  <c r="AM130" i="14"/>
  <c r="AM114" i="14"/>
  <c r="AM98" i="14"/>
  <c r="AM82" i="14"/>
  <c r="AM66" i="14"/>
  <c r="AM50" i="14"/>
  <c r="AM34" i="14"/>
  <c r="AM18" i="14"/>
  <c r="AM129" i="14"/>
  <c r="AM113" i="14"/>
  <c r="AM97" i="14"/>
  <c r="AM81" i="14"/>
  <c r="AM65" i="14"/>
  <c r="AM49" i="14"/>
  <c r="AM33" i="14"/>
  <c r="AM17" i="14"/>
  <c r="AM120" i="14"/>
  <c r="AM104" i="14"/>
  <c r="AM88" i="14"/>
  <c r="AM72" i="14"/>
  <c r="AM56" i="14"/>
  <c r="AM40" i="14"/>
  <c r="AM24" i="14"/>
  <c r="AM132" i="14"/>
  <c r="AM127" i="14"/>
  <c r="AM111" i="14"/>
  <c r="AM95" i="14"/>
  <c r="AM79" i="14"/>
  <c r="AM63" i="14"/>
  <c r="AM47" i="14"/>
  <c r="AM31" i="14"/>
  <c r="AM126" i="14"/>
  <c r="AM110" i="14"/>
  <c r="AM94" i="14"/>
  <c r="AM78" i="14"/>
  <c r="AM62" i="14"/>
  <c r="AM46" i="14"/>
  <c r="AM30" i="14"/>
  <c r="AM14" i="14"/>
  <c r="AM10" i="14"/>
  <c r="AM3" i="14"/>
  <c r="R5" i="11"/>
  <c r="H5" i="11" s="1"/>
  <c r="AN97" i="14" l="1"/>
  <c r="AN41" i="14"/>
  <c r="AN89" i="14"/>
  <c r="AN126" i="14"/>
  <c r="AN53" i="14"/>
  <c r="AN13" i="14"/>
  <c r="AN20" i="14"/>
  <c r="AN132" i="14"/>
  <c r="AN67" i="14"/>
  <c r="AN109" i="14"/>
  <c r="AN115" i="14"/>
  <c r="AN46" i="14"/>
  <c r="AN38" i="14"/>
  <c r="AN86" i="14"/>
  <c r="AN49" i="14"/>
  <c r="AN73" i="14"/>
  <c r="AN84" i="14"/>
  <c r="AN24" i="14"/>
  <c r="AN138" i="14"/>
  <c r="AN76" i="14"/>
  <c r="AN94" i="14"/>
  <c r="AN66" i="14"/>
  <c r="AN111" i="14"/>
  <c r="AN33" i="14"/>
  <c r="AN18" i="14"/>
  <c r="AN117" i="14"/>
  <c r="AN112" i="14"/>
  <c r="AN17" i="14"/>
  <c r="AN121" i="14"/>
  <c r="AN70" i="14"/>
  <c r="AN54" i="14"/>
  <c r="AN100" i="14"/>
  <c r="AN120" i="14"/>
  <c r="AN118" i="14"/>
  <c r="AN83" i="14"/>
  <c r="AN131" i="14"/>
  <c r="AN129" i="14"/>
  <c r="AN62" i="14"/>
  <c r="AN91" i="14"/>
  <c r="AN80" i="14"/>
  <c r="AN82" i="14"/>
  <c r="AN30" i="14"/>
  <c r="AN81" i="14"/>
  <c r="AN48" i="14"/>
  <c r="AN99" i="14"/>
  <c r="AN90" i="14"/>
  <c r="AN58" i="14"/>
  <c r="AN51" i="14"/>
  <c r="AN69" i="14"/>
  <c r="AN55" i="14"/>
  <c r="AN22" i="14"/>
  <c r="AN31" i="14"/>
  <c r="AN23" i="14"/>
  <c r="AN95" i="14"/>
  <c r="AN32" i="14"/>
  <c r="AN124" i="14"/>
  <c r="AN137" i="14"/>
  <c r="AN50" i="14"/>
  <c r="AN28" i="14"/>
  <c r="AN133" i="14"/>
  <c r="AN59" i="14"/>
  <c r="AN11" i="14"/>
  <c r="AN72" i="14"/>
  <c r="AN75" i="14"/>
  <c r="AN106" i="14"/>
  <c r="AN52" i="14"/>
  <c r="AN43" i="14"/>
  <c r="AN113" i="14"/>
  <c r="AN19" i="14"/>
  <c r="AN14" i="14"/>
  <c r="AN107" i="14"/>
  <c r="AN61" i="14"/>
  <c r="AN93" i="14"/>
  <c r="AN92" i="14"/>
  <c r="AN125" i="14"/>
  <c r="AN63" i="14"/>
  <c r="AN77" i="14"/>
  <c r="AN57" i="14"/>
  <c r="AN64" i="14"/>
  <c r="AN105" i="14"/>
  <c r="AN98" i="14"/>
  <c r="AN122" i="14"/>
  <c r="AN71" i="14"/>
  <c r="AN74" i="14"/>
  <c r="AN60" i="14"/>
  <c r="AN12" i="14"/>
  <c r="AN10" i="14"/>
  <c r="AN78" i="14"/>
  <c r="AN37" i="14"/>
  <c r="AN123" i="14"/>
  <c r="AN27" i="14"/>
  <c r="AN134" i="14"/>
  <c r="AN110" i="14"/>
  <c r="AN36" i="14"/>
  <c r="AN29" i="14"/>
  <c r="AN68" i="14"/>
  <c r="AN42" i="14"/>
  <c r="AN119" i="14"/>
  <c r="AN128" i="14"/>
  <c r="AN96" i="14"/>
  <c r="AN26" i="14"/>
  <c r="AN25" i="14"/>
  <c r="AN56" i="14"/>
  <c r="AN65" i="14"/>
  <c r="AN88" i="14"/>
  <c r="AN39" i="14"/>
  <c r="AN47" i="14"/>
  <c r="AN45" i="14"/>
  <c r="AN85" i="14"/>
  <c r="AN40" i="14"/>
  <c r="AN136" i="14"/>
  <c r="AN34" i="14"/>
  <c r="AN87" i="14"/>
  <c r="AN130" i="14"/>
  <c r="AN116" i="14"/>
  <c r="AN127" i="14"/>
  <c r="AN102" i="14"/>
  <c r="AN44" i="14"/>
  <c r="AN35" i="14"/>
  <c r="AN79" i="14"/>
  <c r="AN114" i="14"/>
  <c r="AN101" i="14"/>
  <c r="AN103" i="14"/>
  <c r="AN108" i="14"/>
  <c r="AN21" i="14"/>
  <c r="AN104" i="14"/>
  <c r="AN135" i="14"/>
  <c r="Y4" i="11"/>
  <c r="Z4" i="11" s="1"/>
  <c r="S5" i="11" l="1"/>
  <c r="V5" i="11"/>
  <c r="T5" i="11" l="1"/>
  <c r="W5" i="11" l="1" a="1"/>
  <c r="W5" i="11" s="1"/>
  <c r="R6" i="11"/>
  <c r="H6" i="11" s="1"/>
  <c r="AM16" i="14"/>
  <c r="T6" i="11" l="1"/>
  <c r="S6" i="11"/>
  <c r="AI15" i="14" s="1"/>
  <c r="V6" i="11"/>
  <c r="AN16" i="14"/>
  <c r="Y5" i="11"/>
  <c r="Z5" i="11" s="1"/>
  <c r="R7" i="11" l="1"/>
  <c r="H7" i="11" s="1"/>
  <c r="V7" i="11" s="1"/>
  <c r="W6" i="11" a="1"/>
  <c r="W6" i="11" s="1"/>
  <c r="X6" i="11" s="1" a="1"/>
  <c r="X6" i="11" s="1"/>
  <c r="Y6" i="11" s="1"/>
  <c r="Z6" i="11" s="1"/>
  <c r="T7" i="11" l="1"/>
  <c r="S7" i="11"/>
  <c r="W7" i="11" a="1"/>
  <c r="W7" i="11" s="1"/>
  <c r="AM4" i="14"/>
  <c r="AN3" i="14"/>
  <c r="R8" i="11" l="1"/>
  <c r="H8" i="11" s="1"/>
  <c r="AL15" i="14"/>
  <c r="AM15" i="14" s="1"/>
  <c r="AN15" i="14" s="1"/>
  <c r="AN4" i="14"/>
  <c r="AM8" i="14"/>
  <c r="S8" i="11" l="1"/>
  <c r="V8" i="11"/>
  <c r="T8" i="11"/>
  <c r="W8" i="11" s="1" a="1"/>
  <c r="W8" i="11" s="1"/>
  <c r="AN8" i="14"/>
  <c r="AM5" i="14"/>
  <c r="AN5" i="14" l="1"/>
  <c r="AM6" i="14" l="1"/>
  <c r="AM9" i="14" l="1"/>
  <c r="AN9" i="14" s="1"/>
  <c r="AN6" i="14"/>
  <c r="AO74" i="14" l="1" a="1"/>
  <c r="AO74" i="14" s="1"/>
  <c r="AP74" i="14" s="1"/>
  <c r="AO4" i="14" a="1"/>
  <c r="AO4" i="14" s="1"/>
  <c r="AP4" i="14" s="1"/>
  <c r="AO84" i="14" a="1"/>
  <c r="AO84" i="14" s="1"/>
  <c r="AP84" i="14" s="1"/>
  <c r="AO117" i="14" l="1" a="1"/>
  <c r="AO117" i="14" s="1"/>
  <c r="AP117" i="14" s="1"/>
  <c r="AO51" i="14" a="1"/>
  <c r="AO51" i="14" s="1"/>
  <c r="AP51" i="14" s="1"/>
  <c r="AO94" i="14" a="1"/>
  <c r="AO94" i="14" s="1"/>
  <c r="AP94" i="14" s="1"/>
  <c r="AO50" i="14" a="1"/>
  <c r="AO50" i="14" s="1"/>
  <c r="AP50" i="14" s="1"/>
  <c r="AO77" i="14" a="1"/>
  <c r="AO77" i="14" s="1"/>
  <c r="AP77" i="14" s="1"/>
  <c r="AO13" i="14" a="1"/>
  <c r="AO13" i="14" s="1"/>
  <c r="AP13" i="14" s="1"/>
  <c r="AO89" i="14" a="1"/>
  <c r="AO89" i="14" s="1"/>
  <c r="AP89" i="14" s="1"/>
  <c r="AO26" i="14" a="1"/>
  <c r="AO26" i="14" s="1"/>
  <c r="AP26" i="14" s="1"/>
  <c r="AO124" i="14" a="1"/>
  <c r="AO124" i="14" s="1"/>
  <c r="AP124" i="14" s="1"/>
  <c r="AO98" i="14" a="1"/>
  <c r="AO98" i="14" s="1"/>
  <c r="AP98" i="14" s="1"/>
  <c r="AO67" i="14" a="1"/>
  <c r="AO67" i="14" s="1"/>
  <c r="AP67" i="14" s="1"/>
  <c r="AO132" i="14" a="1"/>
  <c r="AO132" i="14" s="1"/>
  <c r="AP132" i="14" s="1"/>
  <c r="AO48" i="14" a="1"/>
  <c r="AO48" i="14" s="1"/>
  <c r="AP48" i="14" s="1"/>
  <c r="AO81" i="14" a="1"/>
  <c r="AO81" i="14" s="1"/>
  <c r="AP81" i="14" s="1"/>
  <c r="AO25" i="14" a="1"/>
  <c r="AO25" i="14" s="1"/>
  <c r="AP25" i="14" s="1"/>
  <c r="AO65" i="14" a="1"/>
  <c r="AO65" i="14" s="1"/>
  <c r="AP65" i="14" s="1"/>
  <c r="AO111" i="14" a="1"/>
  <c r="AO111" i="14" s="1"/>
  <c r="AP111" i="14" s="1"/>
  <c r="AO97" i="14" a="1"/>
  <c r="AO97" i="14" s="1"/>
  <c r="AP97" i="14" s="1"/>
  <c r="AO125" i="14" a="1"/>
  <c r="AO125" i="14" s="1"/>
  <c r="AP125" i="14" s="1"/>
  <c r="AO96" i="14" a="1"/>
  <c r="AO96" i="14" s="1"/>
  <c r="AP96" i="14" s="1"/>
  <c r="AO73" i="14" a="1"/>
  <c r="AO73" i="14" s="1"/>
  <c r="AP73" i="14" s="1"/>
  <c r="AO72" i="14" a="1"/>
  <c r="AO72" i="14" s="1"/>
  <c r="AP72" i="14" s="1"/>
  <c r="AO91" i="14" a="1"/>
  <c r="AO91" i="14" s="1"/>
  <c r="AP91" i="14" s="1"/>
  <c r="AO36" i="14" a="1"/>
  <c r="AO36" i="14" s="1"/>
  <c r="AP36" i="14" s="1"/>
  <c r="AO133" i="14" a="1"/>
  <c r="AO133" i="14" s="1"/>
  <c r="AP133" i="14" s="1"/>
  <c r="AO121" i="14" a="1"/>
  <c r="AO121" i="14" s="1"/>
  <c r="AP121" i="14" s="1"/>
  <c r="AO119" i="14" a="1"/>
  <c r="AO119" i="14" s="1"/>
  <c r="AP119" i="14" s="1"/>
  <c r="AO43" i="14" a="1"/>
  <c r="AO43" i="14" s="1"/>
  <c r="AP43" i="14" s="1"/>
  <c r="AO116" i="14" a="1"/>
  <c r="AO116" i="14" s="1"/>
  <c r="AP116" i="14" s="1"/>
  <c r="AO54" i="14" a="1"/>
  <c r="AO54" i="14" s="1"/>
  <c r="AP54" i="14" s="1"/>
  <c r="AO15" i="14" a="1"/>
  <c r="AO15" i="14" s="1"/>
  <c r="AP15" i="14" s="1"/>
  <c r="AO71" i="14" a="1"/>
  <c r="AO71" i="14" s="1"/>
  <c r="AP71" i="14" s="1"/>
  <c r="AO87" i="14" a="1"/>
  <c r="AO87" i="14" s="1"/>
  <c r="AP87" i="14" s="1"/>
  <c r="AO19" i="14" a="1"/>
  <c r="AO19" i="14" s="1"/>
  <c r="AP19" i="14" s="1"/>
  <c r="AO95" i="14" a="1"/>
  <c r="AO95" i="14" s="1"/>
  <c r="AP95" i="14" s="1"/>
  <c r="AO62" i="14" a="1"/>
  <c r="AO62" i="14" s="1"/>
  <c r="AP62" i="14" s="1"/>
  <c r="AO103" i="14" a="1"/>
  <c r="AO103" i="14" s="1"/>
  <c r="AP103" i="14" s="1"/>
  <c r="AO79" i="14" a="1"/>
  <c r="AO79" i="14" s="1"/>
  <c r="AP79" i="14" s="1"/>
  <c r="AO10" i="14" a="1"/>
  <c r="AO10" i="14" s="1"/>
  <c r="AP10" i="14" s="1"/>
  <c r="AO24" i="14" a="1"/>
  <c r="AO24" i="14" s="1"/>
  <c r="AP24" i="14" s="1"/>
  <c r="AO57" i="14" a="1"/>
  <c r="AO57" i="14" s="1"/>
  <c r="AP57" i="14" s="1"/>
  <c r="AO123" i="14" a="1"/>
  <c r="AO123" i="14" s="1"/>
  <c r="AP123" i="14" s="1"/>
  <c r="AO99" i="14" a="1"/>
  <c r="AO99" i="14" s="1"/>
  <c r="AP99" i="14" s="1"/>
  <c r="AO106" i="14" a="1"/>
  <c r="AO106" i="14" s="1"/>
  <c r="AP106" i="14" s="1"/>
  <c r="AO86" i="14" a="1"/>
  <c r="AO86" i="14" s="1"/>
  <c r="AP86" i="14" s="1"/>
  <c r="AO28" i="14" a="1"/>
  <c r="AO28" i="14" s="1"/>
  <c r="AP28" i="14" s="1"/>
  <c r="AO128" i="14" a="1"/>
  <c r="AO128" i="14" s="1"/>
  <c r="AP128" i="14" s="1"/>
  <c r="AO90" i="14" a="1"/>
  <c r="AO90" i="14" s="1"/>
  <c r="AP90" i="14" s="1"/>
  <c r="AO7" i="14" a="1"/>
  <c r="AO7" i="14" s="1"/>
  <c r="AO33" i="14" a="1"/>
  <c r="AO33" i="14" s="1"/>
  <c r="AP33" i="14" s="1"/>
  <c r="AO32" i="14" a="1"/>
  <c r="AO32" i="14" s="1"/>
  <c r="AP32" i="14" s="1"/>
  <c r="AO29" i="14" a="1"/>
  <c r="AO29" i="14" s="1"/>
  <c r="AP29" i="14" s="1"/>
  <c r="AO114" i="14" a="1"/>
  <c r="AO114" i="14" s="1"/>
  <c r="AP114" i="14" s="1"/>
  <c r="AO130" i="14" a="1"/>
  <c r="AO130" i="14" s="1"/>
  <c r="AP130" i="14" s="1"/>
  <c r="AO126" i="14" a="1"/>
  <c r="AO126" i="14" s="1"/>
  <c r="AP126" i="14" s="1"/>
  <c r="AO105" i="14" a="1"/>
  <c r="AO105" i="14" s="1"/>
  <c r="AP105" i="14" s="1"/>
  <c r="AO131" i="14" a="1"/>
  <c r="AO131" i="14" s="1"/>
  <c r="AP131" i="14" s="1"/>
  <c r="AO64" i="14" a="1"/>
  <c r="AO64" i="14" s="1"/>
  <c r="AP64" i="14" s="1"/>
  <c r="AO47" i="14" a="1"/>
  <c r="AO47" i="14" s="1"/>
  <c r="AP47" i="14" s="1"/>
  <c r="AO88" i="14" a="1"/>
  <c r="AO88" i="14" s="1"/>
  <c r="AP88" i="14" s="1"/>
  <c r="AO118" i="14" a="1"/>
  <c r="AO118" i="14" s="1"/>
  <c r="AP118" i="14" s="1"/>
  <c r="AO113" i="14" a="1"/>
  <c r="AO113" i="14" s="1"/>
  <c r="AP113" i="14" s="1"/>
  <c r="AO120" i="14" a="1"/>
  <c r="AO120" i="14" s="1"/>
  <c r="AP120" i="14" s="1"/>
  <c r="AO80" i="14" a="1"/>
  <c r="AO80" i="14" s="1"/>
  <c r="AP80" i="14" s="1"/>
  <c r="AO35" i="14" a="1"/>
  <c r="AO35" i="14" s="1"/>
  <c r="AP35" i="14" s="1"/>
  <c r="AO55" i="14" a="1"/>
  <c r="AO55" i="14" s="1"/>
  <c r="AP55" i="14" s="1"/>
  <c r="AO22" i="14" a="1"/>
  <c r="AO22" i="14" s="1"/>
  <c r="AP22" i="14" s="1"/>
  <c r="AO5" i="14" a="1"/>
  <c r="AO5" i="14" s="1"/>
  <c r="AP5" i="14" s="1"/>
  <c r="AO61" i="14" a="1"/>
  <c r="AO61" i="14" s="1"/>
  <c r="AP61" i="14" s="1"/>
  <c r="AO11" i="14" a="1"/>
  <c r="AO11" i="14" s="1"/>
  <c r="AP11" i="14" s="1"/>
  <c r="AO85" i="14" a="1"/>
  <c r="AO85" i="14" s="1"/>
  <c r="AP85" i="14" s="1"/>
  <c r="AO39" i="14" a="1"/>
  <c r="AO39" i="14" s="1"/>
  <c r="AP39" i="14" s="1"/>
  <c r="AO52" i="14" a="1"/>
  <c r="AO52" i="14" s="1"/>
  <c r="AP52" i="14" s="1"/>
  <c r="AO70" i="14" a="1"/>
  <c r="AO70" i="14" s="1"/>
  <c r="AP70" i="14" s="1"/>
  <c r="AO8" i="14" a="1"/>
  <c r="AO8" i="14" s="1"/>
  <c r="AP8" i="14" s="1"/>
  <c r="AO108" i="14" a="1"/>
  <c r="AO108" i="14" s="1"/>
  <c r="AP108" i="14" s="1"/>
  <c r="AO135" i="14" a="1"/>
  <c r="AO135" i="14" s="1"/>
  <c r="AP135" i="14" s="1"/>
  <c r="AO109" i="14" a="1"/>
  <c r="AO109" i="14" s="1"/>
  <c r="AP109" i="14" s="1"/>
  <c r="AO136" i="14" a="1"/>
  <c r="AO136" i="14" s="1"/>
  <c r="AP136" i="14" s="1"/>
  <c r="AO66" i="14" a="1"/>
  <c r="AO66" i="14" s="1"/>
  <c r="AP66" i="14" s="1"/>
  <c r="AO27" i="14" a="1"/>
  <c r="AO27" i="14" s="1"/>
  <c r="AP27" i="14" s="1"/>
  <c r="AO138" i="14" a="1"/>
  <c r="AO138" i="14" s="1"/>
  <c r="AP138" i="14" s="1"/>
  <c r="AO102" i="14" a="1"/>
  <c r="AO102" i="14" s="1"/>
  <c r="AP102" i="14" s="1"/>
  <c r="AO60" i="14" a="1"/>
  <c r="AO60" i="14" s="1"/>
  <c r="AP60" i="14" s="1"/>
  <c r="AO49" i="14" a="1"/>
  <c r="AO49" i="14" s="1"/>
  <c r="AP49" i="14" s="1"/>
  <c r="AO68" i="14" a="1"/>
  <c r="AO68" i="14" s="1"/>
  <c r="AP68" i="14" s="1"/>
  <c r="AO9" i="14" a="1"/>
  <c r="AO9" i="14" s="1"/>
  <c r="AP9" i="14" s="1"/>
  <c r="AO76" i="14" a="1"/>
  <c r="AO76" i="14" s="1"/>
  <c r="AP76" i="14" s="1"/>
  <c r="AO14" i="14" a="1"/>
  <c r="AO14" i="14" s="1"/>
  <c r="AP14" i="14" s="1"/>
  <c r="AO82" i="14" a="1"/>
  <c r="AO82" i="14" s="1"/>
  <c r="AP82" i="14" s="1"/>
  <c r="AO122" i="14" a="1"/>
  <c r="AO122" i="14" s="1"/>
  <c r="AP122" i="14" s="1"/>
  <c r="AO56" i="14" a="1"/>
  <c r="AO56" i="14" s="1"/>
  <c r="AP56" i="14" s="1"/>
  <c r="AO63" i="14" a="1"/>
  <c r="AO63" i="14" s="1"/>
  <c r="AP63" i="14" s="1"/>
  <c r="AO44" i="14" a="1"/>
  <c r="AO44" i="14" s="1"/>
  <c r="AP44" i="14" s="1"/>
  <c r="AO38" i="14" a="1"/>
  <c r="AO38" i="14" s="1"/>
  <c r="AP38" i="14" s="1"/>
  <c r="AO127" i="14" a="1"/>
  <c r="AO127" i="14" s="1"/>
  <c r="AP127" i="14" s="1"/>
  <c r="AO104" i="14" a="1"/>
  <c r="AO104" i="14" s="1"/>
  <c r="AP104" i="14" s="1"/>
  <c r="AO41" i="14" a="1"/>
  <c r="AO41" i="14" s="1"/>
  <c r="AP41" i="14" s="1"/>
  <c r="AO134" i="14" a="1"/>
  <c r="AO134" i="14" s="1"/>
  <c r="AP134" i="14" s="1"/>
  <c r="AO17" i="14" a="1"/>
  <c r="AO17" i="14" s="1"/>
  <c r="AP17" i="14" s="1"/>
  <c r="AO78" i="14" a="1"/>
  <c r="AO78" i="14" s="1"/>
  <c r="AP78" i="14" s="1"/>
  <c r="AO16" i="14" a="1"/>
  <c r="AO16" i="14" s="1"/>
  <c r="AP16" i="14" s="1"/>
  <c r="AO83" i="14" a="1"/>
  <c r="AO83" i="14" s="1"/>
  <c r="AP83" i="14" s="1"/>
  <c r="AO34" i="14" a="1"/>
  <c r="AO34" i="14" s="1"/>
  <c r="AP34" i="14" s="1"/>
  <c r="AO40" i="14" a="1"/>
  <c r="AO40" i="14" s="1"/>
  <c r="AP40" i="14" s="1"/>
  <c r="AO3" i="14" a="1"/>
  <c r="AO3" i="14" s="1"/>
  <c r="AP3" i="14" s="1"/>
  <c r="AO42" i="14" a="1"/>
  <c r="AO42" i="14" s="1"/>
  <c r="AP42" i="14" s="1"/>
  <c r="AO45" i="14" a="1"/>
  <c r="AO45" i="14" s="1"/>
  <c r="AP45" i="14" s="1"/>
  <c r="AO137" i="14" a="1"/>
  <c r="AO137" i="14" s="1"/>
  <c r="AP137" i="14" s="1"/>
  <c r="AO21" i="14" a="1"/>
  <c r="AO21" i="14" s="1"/>
  <c r="AP21" i="14" s="1"/>
  <c r="AO37" i="14" a="1"/>
  <c r="AO37" i="14" s="1"/>
  <c r="AP37" i="14" s="1"/>
  <c r="AO23" i="14" a="1"/>
  <c r="AO23" i="14" s="1"/>
  <c r="AP23" i="14" s="1"/>
  <c r="AO31" i="14" a="1"/>
  <c r="AO31" i="14" s="1"/>
  <c r="AP31" i="14" s="1"/>
  <c r="AO112" i="14" a="1"/>
  <c r="AO112" i="14" s="1"/>
  <c r="AP112" i="14" s="1"/>
  <c r="AO58" i="14" a="1"/>
  <c r="AO58" i="14" s="1"/>
  <c r="AP58" i="14" s="1"/>
  <c r="AO30" i="14" a="1"/>
  <c r="AO30" i="14" s="1"/>
  <c r="AP30" i="14" s="1"/>
  <c r="AO107" i="14" a="1"/>
  <c r="AO107" i="14" s="1"/>
  <c r="AP107" i="14" s="1"/>
  <c r="AO75" i="14" a="1"/>
  <c r="AO75" i="14" s="1"/>
  <c r="AP75" i="14" s="1"/>
  <c r="AO53" i="14" a="1"/>
  <c r="AO53" i="14" s="1"/>
  <c r="AP53" i="14" s="1"/>
  <c r="AO100" i="14" a="1"/>
  <c r="AO100" i="14" s="1"/>
  <c r="AP100" i="14" s="1"/>
  <c r="AO92" i="14" a="1"/>
  <c r="AO92" i="14" s="1"/>
  <c r="AP92" i="14" s="1"/>
  <c r="AO93" i="14" a="1"/>
  <c r="AO93" i="14" s="1"/>
  <c r="AP93" i="14" s="1"/>
  <c r="AO115" i="14" a="1"/>
  <c r="AO115" i="14" s="1"/>
  <c r="AP115" i="14" s="1"/>
  <c r="AO110" i="14" a="1"/>
  <c r="AO110" i="14" s="1"/>
  <c r="AP110" i="14" s="1"/>
  <c r="AO18" i="14" a="1"/>
  <c r="AO18" i="14" s="1"/>
  <c r="AP18" i="14" s="1"/>
  <c r="AO6" i="14" a="1"/>
  <c r="AO6" i="14" s="1"/>
  <c r="AP6" i="14" s="1"/>
  <c r="AO101" i="14" a="1"/>
  <c r="AO101" i="14" s="1"/>
  <c r="AP101" i="14" s="1"/>
  <c r="AO59" i="14" a="1"/>
  <c r="AO59" i="14" s="1"/>
  <c r="AP59" i="14" s="1"/>
  <c r="AO69" i="14" a="1"/>
  <c r="AO69" i="14" s="1"/>
  <c r="AP69" i="14" s="1"/>
  <c r="AO20" i="14" a="1"/>
  <c r="AO20" i="14" s="1"/>
  <c r="AP20" i="14" s="1"/>
  <c r="AO46" i="14" a="1"/>
  <c r="AO46" i="14" s="1"/>
  <c r="AP46" i="14" s="1"/>
  <c r="AO12" i="14" a="1"/>
  <c r="AO12" i="14" s="1"/>
  <c r="AP12" i="14" s="1"/>
  <c r="AO129" i="14" a="1"/>
  <c r="AO129" i="14" s="1"/>
  <c r="AP129" i="14" s="1"/>
  <c r="AM7" i="14" l="1"/>
  <c r="AN7" i="14" l="1"/>
  <c r="AP7" i="14"/>
</calcChain>
</file>

<file path=xl/sharedStrings.xml><?xml version="1.0" encoding="utf-8"?>
<sst xmlns="http://schemas.openxmlformats.org/spreadsheetml/2006/main" count="306" uniqueCount="190">
  <si>
    <t>Compra</t>
  </si>
  <si>
    <t>Take Profit</t>
  </si>
  <si>
    <t>Venda</t>
  </si>
  <si>
    <t>Breakeven</t>
  </si>
  <si>
    <t>Stop Loss</t>
  </si>
  <si>
    <t>-</t>
  </si>
  <si>
    <t>Data</t>
  </si>
  <si>
    <t>Ativo</t>
  </si>
  <si>
    <t>Tipo de Ordem</t>
  </si>
  <si>
    <t>Estratégia</t>
  </si>
  <si>
    <t>Lote</t>
  </si>
  <si>
    <t>Aporte / Retirada $</t>
  </si>
  <si>
    <t>Resultado $</t>
  </si>
  <si>
    <t>Balanço $</t>
  </si>
  <si>
    <t>Conclusão</t>
  </si>
  <si>
    <t>Observações</t>
  </si>
  <si>
    <t>Peak</t>
  </si>
  <si>
    <t>Drawdown %</t>
  </si>
  <si>
    <t>Outros</t>
  </si>
  <si>
    <t>Diário de Operações</t>
  </si>
  <si>
    <t>Dia</t>
  </si>
  <si>
    <t>Dia de Drawdown</t>
  </si>
  <si>
    <t>Rentabilidade %</t>
  </si>
  <si>
    <t>MétodoX</t>
  </si>
  <si>
    <t>XFibo1</t>
  </si>
  <si>
    <t>XFibo3</t>
  </si>
  <si>
    <t>XFibo2</t>
  </si>
  <si>
    <t>XWave</t>
  </si>
  <si>
    <t>XTrend</t>
  </si>
  <si>
    <t>Mês</t>
  </si>
  <si>
    <t>Ano</t>
  </si>
  <si>
    <t>Balanço Final $</t>
  </si>
  <si>
    <t>Drawdown Value</t>
  </si>
  <si>
    <t>Balanço-1 $</t>
  </si>
  <si>
    <t>Contagem de Conclusão</t>
  </si>
  <si>
    <t>Rótulos de Linha</t>
  </si>
  <si>
    <t>Total Geral</t>
  </si>
  <si>
    <t>(Tudo)</t>
  </si>
  <si>
    <t>Acuracidade</t>
  </si>
  <si>
    <t>Contagem de Tipo de Ordem</t>
  </si>
  <si>
    <t>Tipo de Operação</t>
  </si>
  <si>
    <t>Rentabilidade Diária</t>
  </si>
  <si>
    <t>Soma de Resultado $</t>
  </si>
  <si>
    <t>Resultado Financeiro</t>
  </si>
  <si>
    <t>Balanço-2 $</t>
  </si>
  <si>
    <t>Máx. de Balanço-2 $</t>
  </si>
  <si>
    <t>início mês</t>
  </si>
  <si>
    <t>fim mês</t>
  </si>
  <si>
    <t>Saldo início mês</t>
  </si>
  <si>
    <t>Saldo final mês</t>
  </si>
  <si>
    <t>Resultado do mês %</t>
  </si>
  <si>
    <t>Aporte e retirada</t>
  </si>
  <si>
    <t>Lucro do mês</t>
  </si>
  <si>
    <t>Máximo de Drawdown %</t>
  </si>
  <si>
    <t>Tabela para descobrir a rentabilidade mensal e performance</t>
  </si>
  <si>
    <t>Máx Drawdown value</t>
  </si>
  <si>
    <t>Performance</t>
  </si>
  <si>
    <t>Máx. de Performance</t>
  </si>
  <si>
    <t>Performance do mês</t>
  </si>
  <si>
    <t>Semana</t>
  </si>
  <si>
    <t>%</t>
  </si>
  <si>
    <t>Valores</t>
  </si>
  <si>
    <t>Máx. de Saldo final mês</t>
  </si>
  <si>
    <t>Rentabilidade Mensal $</t>
  </si>
  <si>
    <t>Rentabilidade Mensal %</t>
  </si>
  <si>
    <t>Total</t>
  </si>
  <si>
    <t>Resultado por operação $</t>
  </si>
  <si>
    <t>Saldo $</t>
  </si>
  <si>
    <t>Soma de Balanço Final $</t>
  </si>
  <si>
    <t>Aporte $</t>
  </si>
  <si>
    <t>Retirada $</t>
  </si>
  <si>
    <t>Scalping</t>
  </si>
  <si>
    <t>Day Trader</t>
  </si>
  <si>
    <t>Swing Trader</t>
  </si>
  <si>
    <t>Position Trader</t>
  </si>
  <si>
    <t>Projeção de Investimento</t>
  </si>
  <si>
    <t xml:space="preserve">Investimento Inicial </t>
  </si>
  <si>
    <t xml:space="preserve">Investimento Mensal </t>
  </si>
  <si>
    <t>Meses</t>
  </si>
  <si>
    <t xml:space="preserve">Tempo de Investimento </t>
  </si>
  <si>
    <t>Ano(s)</t>
  </si>
  <si>
    <t>Mês(es)</t>
  </si>
  <si>
    <t xml:space="preserve">Rendimento Mensal % </t>
  </si>
  <si>
    <t xml:space="preserve">Total Acumulado </t>
  </si>
  <si>
    <t xml:space="preserve">Lucro Mensal </t>
  </si>
  <si>
    <t>Operações:</t>
  </si>
  <si>
    <t>Dias de operações:</t>
  </si>
  <si>
    <t>Janela horária operacional:</t>
  </si>
  <si>
    <t>Meta de ganho diário:</t>
  </si>
  <si>
    <t>Meta de ganho semanal:</t>
  </si>
  <si>
    <t>Meta de ganho mensal:</t>
  </si>
  <si>
    <t>Limite de perda diária:</t>
  </si>
  <si>
    <t>Limite de perda semanal:</t>
  </si>
  <si>
    <t>Limite de perda mensal:</t>
  </si>
  <si>
    <t>Risco por operação:</t>
  </si>
  <si>
    <t>Ativos operados:</t>
  </si>
  <si>
    <t>Média de ganhos semestrais:</t>
  </si>
  <si>
    <t>Média de ganhos anuais:</t>
  </si>
  <si>
    <t>Ambiente está organizado ?</t>
  </si>
  <si>
    <t>Computador e internet está OK ?</t>
  </si>
  <si>
    <t>Silêncio, foco e sem distrações ?</t>
  </si>
  <si>
    <t>Meditação realizado ?</t>
  </si>
  <si>
    <t>Foi revisado o trading plan e diário de operações ?</t>
  </si>
  <si>
    <t>Verificar o calendário econôminco ?</t>
  </si>
  <si>
    <t>M15:</t>
  </si>
  <si>
    <t>H1:</t>
  </si>
  <si>
    <t>H4:</t>
  </si>
  <si>
    <t>D1:</t>
  </si>
  <si>
    <t>W1:</t>
  </si>
  <si>
    <t>MN:</t>
  </si>
  <si>
    <t>Reações na hora da operação</t>
  </si>
  <si>
    <t>No momento de abertura da posição:</t>
  </si>
  <si>
    <t>Vou me sentir confiante da minha análise, retirando todo medo e ansiedade.</t>
  </si>
  <si>
    <t>Reação no take profit:</t>
  </si>
  <si>
    <t>Vou me sentir feliz e confiante.</t>
  </si>
  <si>
    <t>Reação no breakeven:</t>
  </si>
  <si>
    <t>Vou me sentir aliviado, pois protegi meu capital e coloquei metade do lucro no bolso.</t>
  </si>
  <si>
    <t>Reação no stop loss:</t>
  </si>
  <si>
    <t>Vou me sentir aliviado, pois o stop é a melhor forma de proteger meu capital.</t>
  </si>
  <si>
    <t>Afirmação</t>
  </si>
  <si>
    <t>Nada vence a disciplina de fazer a mesma coisa todo santo dia.</t>
  </si>
  <si>
    <t>Minha Regras</t>
  </si>
  <si>
    <t>Quando</t>
  </si>
  <si>
    <t>Ponto 1</t>
  </si>
  <si>
    <t>Média de 21 está apontado para cima e média de 7 com inclinação maior que 45°</t>
  </si>
  <si>
    <t>Entrada no fechamento do 1º candle( Pinbar ou Barra Elefante)</t>
  </si>
  <si>
    <t>Stop Loss abaixo do fundo, Take Profit no Próximo Topo ou Resistência mais próxima</t>
  </si>
  <si>
    <t>Ponto 2</t>
  </si>
  <si>
    <t>Média de 21 está apontado para cima, média de 7 com inclinação maior que 45°</t>
  </si>
  <si>
    <t>Entrada no fechamento do 2° candle que fecha acima da média de 21</t>
  </si>
  <si>
    <t>Como</t>
  </si>
  <si>
    <t>Ponto - 4</t>
  </si>
  <si>
    <t>O preço ter se distanciado das médias de 7, 21 e 200</t>
  </si>
  <si>
    <t>Entrada no fechamemento do candle (pinbar)</t>
  </si>
  <si>
    <t>Stop Loss abaixo do Candle (pinbar) Take Profit Próximo da média de 21 ou no nível de 50% de Fibonacci</t>
  </si>
  <si>
    <t>Média de 21 está apontado para Baixo e média de 7 com inclinação maior que 45°</t>
  </si>
  <si>
    <t>Entrada no fechamento do candle (Pinbar ou Barra Elefante)</t>
  </si>
  <si>
    <t>Stop loss acima do topo Anterior, Take Profeit no Próximo fundo ou no Suporte mais Próximo</t>
  </si>
  <si>
    <t>Ponto 3</t>
  </si>
  <si>
    <t>Entrada no fechamento do 2° candle que fecha Abaixo da média de 21</t>
  </si>
  <si>
    <t>Ponto - 5</t>
  </si>
  <si>
    <t>4 - Como (Risco)</t>
  </si>
  <si>
    <t>Stop Loss Acima do Candle (pinbar) Take Profit Próximo da média de 21 ou no nível de 50% de Fibonacci</t>
  </si>
  <si>
    <t>7 - Atenção</t>
  </si>
  <si>
    <t>Disciplina é o Preço da Excelência</t>
  </si>
  <si>
    <t>Perfil</t>
  </si>
  <si>
    <t>Cores do Gráfico</t>
  </si>
  <si>
    <t>Pré-Requisitos</t>
  </si>
  <si>
    <t>Requisitos Venda</t>
  </si>
  <si>
    <t>Requisitos Compra</t>
  </si>
  <si>
    <t>1 - Localização do Preço</t>
  </si>
  <si>
    <t>6 - Gerenciamento do Trading</t>
  </si>
  <si>
    <t>5 - Porquê? (Motivo)</t>
  </si>
  <si>
    <t>2 - Onde (Eu quero tomar a decisão?</t>
  </si>
  <si>
    <t>0.10</t>
  </si>
  <si>
    <t>0.20</t>
  </si>
  <si>
    <t>0.15</t>
  </si>
  <si>
    <t>Terça, Quarta e Quinta</t>
  </si>
  <si>
    <t>9h ás 12h</t>
  </si>
  <si>
    <t>US100, US30, Gold, EURUSD, GBPUSD</t>
  </si>
  <si>
    <t>Branco</t>
  </si>
  <si>
    <t>Azul</t>
  </si>
  <si>
    <t>Laranja</t>
  </si>
  <si>
    <t>Amarelo</t>
  </si>
  <si>
    <t>Roxo</t>
  </si>
  <si>
    <t>Vermelho</t>
  </si>
  <si>
    <t>Compra realizada no rompimento, retração e continuação de uma resistência do gráfico de 1 hora, deixando um candle de força compradora com aumento de volume, estava me sentindo confiante.</t>
  </si>
  <si>
    <t>Hoje dia XX/XX/XX sou grato por ter realizado todas as minhas entradas no mercado com total disciplina, sei que tenho a disciplina necessária para atingir meu objetivo de viver de trading (de rentabilizar meu dinheiro, ter liberdade de tempo, geográfica e ter um salário de 10.000.00 mil reais por mês provenientes dos meus resultados no mercado), e sei que tudo é possível devido ao meu nível de comprometimento e disciplina, portanto continuarei realizando entradas de forma clara e disciplinada.</t>
  </si>
  <si>
    <t>3 - Quando (Devo tomar a decisão?)</t>
  </si>
  <si>
    <t>Lucro no mês</t>
  </si>
  <si>
    <t>Resultado % do mês</t>
  </si>
  <si>
    <t>(vazio)</t>
  </si>
  <si>
    <t>Índice</t>
  </si>
  <si>
    <t>Máx. de Drawdown %</t>
  </si>
  <si>
    <t>Scalping / Day Trader</t>
  </si>
  <si>
    <t>Scalping / Position Trader</t>
  </si>
  <si>
    <t>Scalping / Swing Trader</t>
  </si>
  <si>
    <t>Day Trader / Swing Trader</t>
  </si>
  <si>
    <t>Day Trader / Position Trader</t>
  </si>
  <si>
    <t>Swing Trader / Position Trader</t>
  </si>
  <si>
    <t>Scalping / Day Trader / Swing Trader</t>
  </si>
  <si>
    <t>Scalping / Day Trader / Swing Trader / Position Trader</t>
  </si>
  <si>
    <t>Status</t>
  </si>
  <si>
    <t>Aberto</t>
  </si>
  <si>
    <t>Fechado</t>
  </si>
  <si>
    <t>$</t>
  </si>
  <si>
    <t>EURUSD</t>
  </si>
  <si>
    <t>Nasdaq</t>
  </si>
  <si>
    <t>GOLD</t>
  </si>
  <si>
    <t>AUDJPY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</si>
</sst>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R$&quot;* #,##0.00_);_(&quot;R$&quot;* \(#,##0.00\);_(&quot;R$&quot;* &quot;-&quot;??_);_(@_)"/>
    <numFmt numFmtId="165" formatCode="_(&quot;$&quot;* #,##0.00_);_(&quot;$&quot;* \(#,##0.00\);_(&quot;$&quot;* &quot;-&quot;??_);_(@_)"/>
    <numFmt numFmtId="166" formatCode="&quot;R$&quot;\ #,##0.00"/>
    <numFmt numFmtId="167" formatCode="&quot;$&quot;#,##0.00"/>
    <numFmt numFmtId="168" formatCode="[$-409]d\-mmm\-yy;@"/>
    <numFmt numFmtId="169" formatCode="0.0%"/>
    <numFmt numFmtId="170" formatCode="[$-416]d\-mmm\-yy;@"/>
    <numFmt numFmtId="171" formatCode="_-[$$-409]* #,##0.00_ ;_-[$$-409]* \-#,##0.00\ ;_-[$$-409]* &quot;-&quot;??_ ;_-@_ 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theme="0"/>
      <name val="Verdana"/>
      <family val="2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9" tint="-0.249977111117893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theme="1"/>
      <name val="Calibri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4"/>
      </patternFill>
    </fill>
    <fill>
      <patternFill patternType="solid">
        <fgColor theme="1"/>
        <bgColor indexed="64"/>
      </patternFill>
    </fill>
    <fill>
      <patternFill patternType="solid">
        <fgColor rgb="FFFFC7CE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165" fontId="1" fillId="0" borderId="0" applyFont="0" applyFill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10" fillId="8" borderId="0" applyNumberFormat="0" applyBorder="0" applyAlignment="0" applyProtection="0"/>
    <xf numFmtId="0" fontId="1" fillId="9" borderId="0" applyNumberFormat="0" applyBorder="0" applyAlignment="0" applyProtection="0"/>
    <xf numFmtId="0" fontId="2" fillId="10" borderId="0" applyNumberFormat="0" applyBorder="0" applyAlignment="0" applyProtection="0"/>
    <xf numFmtId="164" fontId="1" fillId="0" borderId="0" applyFont="0" applyFill="0" applyBorder="0" applyAlignment="0" applyProtection="0"/>
  </cellStyleXfs>
  <cellXfs count="225">
    <xf numFmtId="0" fontId="0" fillId="0" borderId="0" xfId="0"/>
    <xf numFmtId="10" fontId="0" fillId="0" borderId="0" xfId="0" applyNumberFormat="1"/>
    <xf numFmtId="166" fontId="0" fillId="0" borderId="0" xfId="0" applyNumberFormat="1"/>
    <xf numFmtId="10" fontId="0" fillId="0" borderId="0" xfId="1" applyNumberFormat="1" applyFont="1"/>
    <xf numFmtId="0" fontId="4" fillId="0" borderId="0" xfId="0" applyFont="1" applyFill="1"/>
    <xf numFmtId="0" fontId="4" fillId="0" borderId="0" xfId="0" applyFont="1" applyFill="1" applyAlignment="1">
      <alignment horizontal="left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6" fillId="0" borderId="0" xfId="0" applyFont="1"/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left" indent="1"/>
    </xf>
    <xf numFmtId="0" fontId="0" fillId="0" borderId="0" xfId="0" applyAlignment="1">
      <alignment horizontal="left" indent="2"/>
    </xf>
    <xf numFmtId="1" fontId="0" fillId="0" borderId="0" xfId="0" applyNumberFormat="1" applyAlignment="1">
      <alignment horizontal="left" indent="2"/>
    </xf>
    <xf numFmtId="166" fontId="0" fillId="0" borderId="0" xfId="1" applyNumberFormat="1" applyFont="1"/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1" applyNumberFormat="1" applyFont="1" applyBorder="1"/>
    <xf numFmtId="10" fontId="0" fillId="0" borderId="3" xfId="1" applyNumberFormat="1" applyFont="1" applyBorder="1"/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0" fontId="0" fillId="0" borderId="8" xfId="1" applyNumberFormat="1" applyFont="1" applyBorder="1"/>
    <xf numFmtId="10" fontId="0" fillId="0" borderId="7" xfId="1" applyNumberFormat="1" applyFont="1" applyBorder="1"/>
    <xf numFmtId="0" fontId="1" fillId="2" borderId="5" xfId="2" applyBorder="1" applyAlignment="1">
      <alignment horizontal="center" vertical="center"/>
    </xf>
    <xf numFmtId="0" fontId="1" fillId="2" borderId="2" xfId="2" applyBorder="1" applyAlignment="1">
      <alignment horizontal="center" vertical="center"/>
    </xf>
    <xf numFmtId="10" fontId="1" fillId="2" borderId="4" xfId="2" applyNumberFormat="1" applyBorder="1" applyAlignment="1">
      <alignment horizontal="center" vertical="center"/>
    </xf>
    <xf numFmtId="0" fontId="0" fillId="0" borderId="0" xfId="0" applyAlignment="1">
      <alignment horizontal="left" indent="1"/>
    </xf>
    <xf numFmtId="0" fontId="0" fillId="0" borderId="0" xfId="1" applyNumberFormat="1" applyFont="1"/>
    <xf numFmtId="169" fontId="0" fillId="0" borderId="0" xfId="0" applyNumberFormat="1"/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 vertical="center" wrapText="1"/>
    </xf>
    <xf numFmtId="10" fontId="0" fillId="0" borderId="0" xfId="0" applyNumberFormat="1" applyAlignment="1">
      <alignment horizontal="center" vertical="center" wrapText="1"/>
    </xf>
    <xf numFmtId="4" fontId="0" fillId="0" borderId="0" xfId="0" applyNumberFormat="1"/>
    <xf numFmtId="166" fontId="2" fillId="7" borderId="0" xfId="1" applyNumberFormat="1" applyFont="1" applyFill="1"/>
    <xf numFmtId="0" fontId="2" fillId="7" borderId="0" xfId="0" applyFont="1" applyFill="1"/>
    <xf numFmtId="166" fontId="2" fillId="7" borderId="0" xfId="0" applyNumberFormat="1" applyFont="1" applyFill="1"/>
    <xf numFmtId="0" fontId="2" fillId="7" borderId="0" xfId="1" applyNumberFormat="1" applyFont="1" applyFill="1"/>
    <xf numFmtId="0" fontId="2" fillId="7" borderId="0" xfId="0" applyNumberFormat="1" applyFont="1" applyFill="1"/>
    <xf numFmtId="10" fontId="0" fillId="0" borderId="0" xfId="0" applyNumberFormat="1" applyAlignment="1">
      <alignment horizontal="center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1" fontId="3" fillId="0" borderId="0" xfId="0" applyNumberFormat="1" applyFont="1" applyBorder="1" applyAlignment="1" applyProtection="1">
      <alignment horizontal="center" vertical="center"/>
      <protection hidden="1"/>
    </xf>
    <xf numFmtId="166" fontId="3" fillId="0" borderId="0" xfId="0" applyNumberFormat="1" applyFont="1" applyBorder="1" applyAlignment="1" applyProtection="1">
      <alignment horizontal="center" vertical="center"/>
      <protection hidden="1"/>
    </xf>
    <xf numFmtId="10" fontId="3" fillId="0" borderId="0" xfId="1" applyNumberFormat="1" applyFont="1" applyBorder="1" applyAlignment="1" applyProtection="1">
      <alignment horizontal="center" vertical="center"/>
      <protection hidden="1"/>
    </xf>
    <xf numFmtId="0" fontId="3" fillId="0" borderId="0" xfId="0" applyFont="1" applyBorder="1" applyProtection="1">
      <protection hidden="1"/>
    </xf>
    <xf numFmtId="1" fontId="2" fillId="5" borderId="2" xfId="6" applyNumberFormat="1" applyBorder="1" applyAlignment="1" applyProtection="1">
      <alignment horizontal="center" vertical="center"/>
      <protection hidden="1"/>
    </xf>
    <xf numFmtId="10" fontId="2" fillId="5" borderId="2" xfId="6" applyNumberFormat="1" applyBorder="1" applyAlignment="1" applyProtection="1">
      <alignment horizontal="center" vertical="center" wrapText="1"/>
      <protection hidden="1"/>
    </xf>
    <xf numFmtId="10" fontId="2" fillId="5" borderId="2" xfId="6" applyNumberFormat="1" applyBorder="1" applyAlignment="1" applyProtection="1">
      <alignment horizontal="center" vertical="center"/>
      <protection hidden="1"/>
    </xf>
    <xf numFmtId="1" fontId="2" fillId="5" borderId="4" xfId="6" applyNumberFormat="1" applyBorder="1" applyAlignment="1" applyProtection="1">
      <alignment horizontal="center" vertical="center" wrapText="1"/>
      <protection hidden="1"/>
    </xf>
    <xf numFmtId="1" fontId="3" fillId="0" borderId="1" xfId="0" applyNumberFormat="1" applyFont="1" applyBorder="1" applyAlignment="1" applyProtection="1">
      <alignment horizontal="center" vertical="center"/>
      <protection hidden="1"/>
    </xf>
    <xf numFmtId="10" fontId="3" fillId="0" borderId="1" xfId="1" applyNumberFormat="1" applyFont="1" applyBorder="1" applyAlignment="1" applyProtection="1">
      <alignment horizontal="center" vertical="center"/>
      <protection hidden="1"/>
    </xf>
    <xf numFmtId="10" fontId="3" fillId="0" borderId="0" xfId="0" applyNumberFormat="1" applyFont="1" applyBorder="1" applyAlignment="1" applyProtection="1">
      <alignment horizontal="center" vertical="center"/>
      <protection hidden="1"/>
    </xf>
    <xf numFmtId="49" fontId="3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1" xfId="0" applyNumberFormat="1" applyFont="1" applyBorder="1" applyAlignment="1" applyProtection="1">
      <alignment horizontal="center" vertical="center"/>
      <protection locked="0"/>
    </xf>
    <xf numFmtId="2" fontId="3" fillId="0" borderId="1" xfId="0" applyNumberFormat="1" applyFont="1" applyBorder="1" applyAlignment="1" applyProtection="1">
      <alignment horizontal="center" vertical="center"/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3" fillId="0" borderId="0" xfId="0" applyNumberFormat="1" applyFont="1" applyBorder="1" applyAlignment="1" applyProtection="1">
      <alignment horizontal="center" vertical="center"/>
      <protection locked="0"/>
    </xf>
    <xf numFmtId="2" fontId="3" fillId="0" borderId="0" xfId="0" applyNumberFormat="1" applyFont="1" applyBorder="1" applyAlignment="1" applyProtection="1">
      <alignment horizontal="center" vertical="center"/>
      <protection locked="0"/>
    </xf>
    <xf numFmtId="0" fontId="0" fillId="11" borderId="0" xfId="0" applyFill="1" applyProtection="1">
      <protection hidden="1"/>
    </xf>
    <xf numFmtId="0" fontId="2" fillId="0" borderId="0" xfId="0" applyFont="1" applyProtection="1">
      <protection hidden="1"/>
    </xf>
    <xf numFmtId="0" fontId="0" fillId="11" borderId="12" xfId="0" applyFill="1" applyBorder="1" applyProtection="1">
      <protection hidden="1"/>
    </xf>
    <xf numFmtId="0" fontId="0" fillId="11" borderId="13" xfId="0" applyFill="1" applyBorder="1" applyProtection="1">
      <protection hidden="1"/>
    </xf>
    <xf numFmtId="0" fontId="0" fillId="11" borderId="14" xfId="0" applyFill="1" applyBorder="1" applyProtection="1">
      <protection hidden="1"/>
    </xf>
    <xf numFmtId="0" fontId="0" fillId="11" borderId="15" xfId="0" applyFill="1" applyBorder="1" applyProtection="1">
      <protection hidden="1"/>
    </xf>
    <xf numFmtId="0" fontId="0" fillId="11" borderId="19" xfId="0" applyFill="1" applyBorder="1" applyProtection="1">
      <protection hidden="1"/>
    </xf>
    <xf numFmtId="0" fontId="13" fillId="11" borderId="10" xfId="0" applyFont="1" applyFill="1" applyBorder="1" applyAlignment="1" applyProtection="1">
      <alignment vertical="center"/>
      <protection hidden="1"/>
    </xf>
    <xf numFmtId="0" fontId="13" fillId="11" borderId="20" xfId="0" applyFont="1" applyFill="1" applyBorder="1" applyAlignment="1" applyProtection="1">
      <alignment vertical="center"/>
      <protection hidden="1"/>
    </xf>
    <xf numFmtId="0" fontId="12" fillId="11" borderId="0" xfId="4" applyFont="1" applyFill="1" applyBorder="1" applyAlignment="1" applyProtection="1">
      <alignment horizontal="center"/>
      <protection hidden="1"/>
    </xf>
    <xf numFmtId="0" fontId="12" fillId="11" borderId="0" xfId="6" applyFont="1" applyFill="1" applyBorder="1" applyAlignment="1" applyProtection="1">
      <alignment horizontal="center"/>
      <protection hidden="1"/>
    </xf>
    <xf numFmtId="0" fontId="0" fillId="11" borderId="22" xfId="0" applyFill="1" applyBorder="1" applyProtection="1">
      <protection hidden="1"/>
    </xf>
    <xf numFmtId="0" fontId="0" fillId="11" borderId="23" xfId="0" applyFill="1" applyBorder="1" applyProtection="1">
      <protection hidden="1"/>
    </xf>
    <xf numFmtId="0" fontId="0" fillId="11" borderId="24" xfId="0" applyFill="1" applyBorder="1" applyProtection="1">
      <protection hidden="1"/>
    </xf>
    <xf numFmtId="0" fontId="0" fillId="0" borderId="12" xfId="0" applyBorder="1" applyProtection="1">
      <protection hidden="1"/>
    </xf>
    <xf numFmtId="0" fontId="0" fillId="0" borderId="13" xfId="0" applyBorder="1" applyProtection="1">
      <protection hidden="1"/>
    </xf>
    <xf numFmtId="0" fontId="0" fillId="0" borderId="14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19" xfId="0" applyBorder="1" applyProtection="1">
      <protection hidden="1"/>
    </xf>
    <xf numFmtId="0" fontId="0" fillId="11" borderId="0" xfId="0" applyFill="1" applyAlignment="1" applyProtection="1">
      <alignment horizontal="center" vertical="center"/>
      <protection hidden="1"/>
    </xf>
    <xf numFmtId="0" fontId="11" fillId="11" borderId="0" xfId="0" applyFont="1" applyFill="1" applyAlignment="1" applyProtection="1">
      <alignment horizontal="center" vertical="center"/>
      <protection hidden="1"/>
    </xf>
    <xf numFmtId="0" fontId="16" fillId="11" borderId="25" xfId="0" applyFont="1" applyFill="1" applyBorder="1" applyAlignment="1" applyProtection="1">
      <alignment horizontal="center" vertical="center"/>
      <protection locked="0"/>
    </xf>
    <xf numFmtId="0" fontId="3" fillId="11" borderId="0" xfId="0" applyFont="1" applyFill="1" applyAlignment="1" applyProtection="1">
      <alignment horizontal="center" vertical="center"/>
      <protection hidden="1"/>
    </xf>
    <xf numFmtId="0" fontId="16" fillId="11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/>
      <protection hidden="1"/>
    </xf>
    <xf numFmtId="0" fontId="3" fillId="11" borderId="15" xfId="0" applyFont="1" applyFill="1" applyBorder="1" applyProtection="1">
      <protection hidden="1"/>
    </xf>
    <xf numFmtId="0" fontId="3" fillId="11" borderId="19" xfId="0" applyFont="1" applyFill="1" applyBorder="1" applyProtection="1">
      <protection hidden="1"/>
    </xf>
    <xf numFmtId="0" fontId="3" fillId="0" borderId="0" xfId="0" applyFont="1" applyProtection="1">
      <protection hidden="1"/>
    </xf>
    <xf numFmtId="0" fontId="3" fillId="0" borderId="15" xfId="0" applyFont="1" applyBorder="1" applyProtection="1">
      <protection hidden="1"/>
    </xf>
    <xf numFmtId="0" fontId="3" fillId="0" borderId="19" xfId="0" applyFont="1" applyBorder="1" applyProtection="1">
      <protection hidden="1"/>
    </xf>
    <xf numFmtId="0" fontId="17" fillId="11" borderId="0" xfId="6" applyFont="1" applyFill="1" applyBorder="1" applyAlignment="1" applyProtection="1">
      <alignment horizontal="center" vertical="center"/>
      <protection hidden="1"/>
    </xf>
    <xf numFmtId="0" fontId="18" fillId="0" borderId="19" xfId="8" applyFont="1" applyFill="1" applyBorder="1" applyAlignment="1" applyProtection="1">
      <alignment vertical="center"/>
      <protection hidden="1"/>
    </xf>
    <xf numFmtId="0" fontId="0" fillId="0" borderId="22" xfId="0" applyBorder="1" applyProtection="1">
      <protection hidden="1"/>
    </xf>
    <xf numFmtId="0" fontId="0" fillId="0" borderId="23" xfId="0" applyBorder="1" applyProtection="1">
      <protection hidden="1"/>
    </xf>
    <xf numFmtId="0" fontId="0" fillId="0" borderId="24" xfId="0" applyBorder="1" applyProtection="1">
      <protection hidden="1"/>
    </xf>
    <xf numFmtId="0" fontId="3" fillId="11" borderId="0" xfId="0" applyFont="1" applyFill="1" applyProtection="1">
      <protection hidden="1"/>
    </xf>
    <xf numFmtId="0" fontId="3" fillId="11" borderId="0" xfId="0" applyFont="1" applyFill="1" applyAlignment="1" applyProtection="1">
      <alignment horizontal="left" vertical="center"/>
      <protection hidden="1"/>
    </xf>
    <xf numFmtId="170" fontId="3" fillId="0" borderId="1" xfId="0" applyNumberFormat="1" applyFont="1" applyBorder="1" applyAlignment="1" applyProtection="1">
      <alignment horizontal="center" vertical="center"/>
      <protection locked="0"/>
    </xf>
    <xf numFmtId="170" fontId="3" fillId="0" borderId="0" xfId="0" applyNumberFormat="1" applyFont="1" applyBorder="1" applyAlignment="1" applyProtection="1">
      <alignment horizontal="center" vertical="center"/>
      <protection locked="0"/>
    </xf>
    <xf numFmtId="170" fontId="0" fillId="0" borderId="1" xfId="0" applyNumberFormat="1" applyBorder="1" applyAlignment="1">
      <alignment horizontal="center" vertical="center"/>
    </xf>
    <xf numFmtId="0" fontId="24" fillId="11" borderId="0" xfId="0" applyFont="1" applyFill="1" applyProtection="1">
      <protection hidden="1"/>
    </xf>
    <xf numFmtId="0" fontId="16" fillId="11" borderId="10" xfId="0" applyFont="1" applyFill="1" applyBorder="1" applyAlignment="1" applyProtection="1">
      <alignment vertical="center"/>
      <protection hidden="1"/>
    </xf>
    <xf numFmtId="0" fontId="16" fillId="11" borderId="20" xfId="0" applyFont="1" applyFill="1" applyBorder="1" applyAlignment="1" applyProtection="1">
      <alignment vertical="center"/>
      <protection hidden="1"/>
    </xf>
    <xf numFmtId="0" fontId="0" fillId="0" borderId="0" xfId="0" applyFont="1" applyAlignment="1" applyProtection="1">
      <alignment horizontal="left"/>
      <protection hidden="1"/>
    </xf>
    <xf numFmtId="14" fontId="11" fillId="14" borderId="5" xfId="5" applyNumberFormat="1" applyFont="1" applyFill="1" applyBorder="1" applyAlignment="1" applyProtection="1">
      <alignment horizontal="center" vertical="center"/>
      <protection hidden="1"/>
    </xf>
    <xf numFmtId="49" fontId="11" fillId="14" borderId="2" xfId="5" applyNumberFormat="1" applyFont="1" applyFill="1" applyBorder="1" applyAlignment="1" applyProtection="1">
      <alignment horizontal="center" vertical="center" wrapText="1"/>
      <protection hidden="1"/>
    </xf>
    <xf numFmtId="49" fontId="11" fillId="14" borderId="2" xfId="5" applyNumberFormat="1" applyFont="1" applyFill="1" applyBorder="1" applyAlignment="1" applyProtection="1">
      <alignment horizontal="center" vertical="center"/>
      <protection hidden="1"/>
    </xf>
    <xf numFmtId="2" fontId="11" fillId="14" borderId="2" xfId="5" applyNumberFormat="1" applyFont="1" applyFill="1" applyBorder="1" applyAlignment="1" applyProtection="1">
      <alignment horizontal="center" vertical="center"/>
      <protection hidden="1"/>
    </xf>
    <xf numFmtId="170" fontId="3" fillId="0" borderId="8" xfId="0" applyNumberFormat="1" applyFont="1" applyBorder="1" applyAlignment="1" applyProtection="1">
      <alignment horizontal="center" vertical="center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/>
      <protection locked="0"/>
    </xf>
    <xf numFmtId="2" fontId="3" fillId="0" borderId="8" xfId="0" applyNumberFormat="1" applyFont="1" applyBorder="1" applyAlignment="1" applyProtection="1">
      <alignment horizontal="center" vertical="center"/>
      <protection locked="0"/>
    </xf>
    <xf numFmtId="1" fontId="3" fillId="0" borderId="8" xfId="0" applyNumberFormat="1" applyFont="1" applyBorder="1" applyAlignment="1" applyProtection="1">
      <alignment horizontal="center" vertical="center"/>
      <protection hidden="1"/>
    </xf>
    <xf numFmtId="10" fontId="3" fillId="0" borderId="8" xfId="0" applyNumberFormat="1" applyFont="1" applyBorder="1" applyAlignment="1" applyProtection="1">
      <alignment horizontal="center" vertical="center"/>
      <protection hidden="1"/>
    </xf>
    <xf numFmtId="0" fontId="0" fillId="0" borderId="25" xfId="0" applyBorder="1" applyAlignment="1" applyProtection="1">
      <alignment horizontal="center" vertical="center"/>
      <protection hidden="1"/>
    </xf>
    <xf numFmtId="0" fontId="3" fillId="0" borderId="25" xfId="0" applyFont="1" applyBorder="1" applyAlignment="1" applyProtection="1">
      <alignment horizontal="center" vertical="center"/>
      <protection hidden="1"/>
    </xf>
    <xf numFmtId="0" fontId="0" fillId="11" borderId="21" xfId="0" applyFill="1" applyBorder="1" applyAlignment="1" applyProtection="1">
      <alignment horizontal="center" vertical="center"/>
      <protection locked="0"/>
    </xf>
    <xf numFmtId="170" fontId="27" fillId="0" borderId="8" xfId="0" applyNumberFormat="1" applyFont="1" applyBorder="1" applyAlignment="1" applyProtection="1">
      <alignment horizontal="center" vertical="center"/>
      <protection locked="0"/>
    </xf>
    <xf numFmtId="49" fontId="27" fillId="0" borderId="8" xfId="0" applyNumberFormat="1" applyFont="1" applyBorder="1" applyAlignment="1" applyProtection="1">
      <alignment horizontal="center" vertical="center" wrapText="1"/>
      <protection locked="0"/>
    </xf>
    <xf numFmtId="49" fontId="27" fillId="0" borderId="8" xfId="0" applyNumberFormat="1" applyFont="1" applyBorder="1" applyAlignment="1" applyProtection="1">
      <alignment horizontal="center" vertical="center"/>
      <protection locked="0"/>
    </xf>
    <xf numFmtId="2" fontId="27" fillId="0" borderId="8" xfId="0" applyNumberFormat="1" applyFont="1" applyBorder="1" applyAlignment="1" applyProtection="1">
      <alignment horizontal="center" vertical="center"/>
      <protection locked="0"/>
    </xf>
    <xf numFmtId="1" fontId="27" fillId="0" borderId="8" xfId="0" applyNumberFormat="1" applyFont="1" applyBorder="1" applyAlignment="1" applyProtection="1">
      <alignment horizontal="center" vertical="center"/>
      <protection hidden="1"/>
    </xf>
    <xf numFmtId="10" fontId="27" fillId="0" borderId="8" xfId="0" applyNumberFormat="1" applyFont="1" applyBorder="1" applyAlignment="1" applyProtection="1">
      <alignment horizontal="center" vertical="center"/>
      <protection hidden="1"/>
    </xf>
    <xf numFmtId="1" fontId="2" fillId="5" borderId="2" xfId="6" applyNumberFormat="1" applyBorder="1" applyAlignment="1" applyProtection="1">
      <alignment horizontal="center" vertical="center" wrapText="1"/>
      <protection hidden="1"/>
    </xf>
    <xf numFmtId="1" fontId="0" fillId="0" borderId="0" xfId="0" applyNumberFormat="1" applyAlignment="1">
      <alignment horizontal="left" indent="3"/>
    </xf>
    <xf numFmtId="171" fontId="0" fillId="0" borderId="0" xfId="11" applyNumberFormat="1" applyFont="1"/>
    <xf numFmtId="171" fontId="0" fillId="0" borderId="0" xfId="1" applyNumberFormat="1" applyFont="1"/>
    <xf numFmtId="171" fontId="0" fillId="0" borderId="0" xfId="0" applyNumberFormat="1"/>
    <xf numFmtId="171" fontId="2" fillId="7" borderId="0" xfId="1" applyNumberFormat="1" applyFont="1" applyFill="1"/>
    <xf numFmtId="171" fontId="9" fillId="7" borderId="0" xfId="0" applyNumberFormat="1" applyFont="1" applyFill="1"/>
    <xf numFmtId="171" fontId="2" fillId="7" borderId="0" xfId="0" applyNumberFormat="1" applyFont="1" applyFill="1"/>
    <xf numFmtId="171" fontId="11" fillId="14" borderId="2" xfId="5" applyNumberFormat="1" applyFont="1" applyFill="1" applyBorder="1" applyAlignment="1" applyProtection="1">
      <alignment horizontal="center" vertical="center"/>
      <protection hidden="1"/>
    </xf>
    <xf numFmtId="171" fontId="11" fillId="14" borderId="2" xfId="5" applyNumberFormat="1" applyFont="1" applyFill="1" applyBorder="1" applyAlignment="1" applyProtection="1">
      <alignment horizontal="center" vertical="center" wrapText="1"/>
      <protection hidden="1"/>
    </xf>
    <xf numFmtId="171" fontId="3" fillId="0" borderId="1" xfId="0" applyNumberFormat="1" applyFont="1" applyBorder="1" applyAlignment="1" applyProtection="1">
      <alignment horizontal="center" vertical="center"/>
      <protection hidden="1"/>
    </xf>
    <xf numFmtId="171" fontId="3" fillId="0" borderId="1" xfId="0" applyNumberFormat="1" applyFont="1" applyBorder="1" applyAlignment="1" applyProtection="1">
      <alignment horizontal="center" vertical="center"/>
      <protection locked="0"/>
    </xf>
    <xf numFmtId="171" fontId="3" fillId="0" borderId="8" xfId="0" applyNumberFormat="1" applyFont="1" applyBorder="1" applyAlignment="1" applyProtection="1">
      <alignment horizontal="center" vertical="center"/>
      <protection hidden="1"/>
    </xf>
    <xf numFmtId="171" fontId="3" fillId="0" borderId="8" xfId="0" applyNumberFormat="1" applyFont="1" applyBorder="1" applyAlignment="1" applyProtection="1">
      <alignment horizontal="center" vertical="center"/>
      <protection locked="0"/>
    </xf>
    <xf numFmtId="171" fontId="27" fillId="0" borderId="8" xfId="0" applyNumberFormat="1" applyFont="1" applyBorder="1" applyAlignment="1" applyProtection="1">
      <alignment horizontal="center" vertical="center"/>
      <protection hidden="1"/>
    </xf>
    <xf numFmtId="171" fontId="27" fillId="0" borderId="8" xfId="0" applyNumberFormat="1" applyFont="1" applyBorder="1" applyAlignment="1" applyProtection="1">
      <alignment horizontal="center" vertical="center"/>
      <protection locked="0"/>
    </xf>
    <xf numFmtId="171" fontId="3" fillId="0" borderId="0" xfId="0" applyNumberFormat="1" applyFont="1" applyBorder="1" applyAlignment="1" applyProtection="1">
      <alignment horizontal="center" vertical="center"/>
      <protection hidden="1"/>
    </xf>
    <xf numFmtId="171" fontId="3" fillId="0" borderId="0" xfId="0" applyNumberFormat="1" applyFont="1" applyBorder="1" applyAlignment="1" applyProtection="1">
      <alignment horizontal="center" vertical="center"/>
      <protection locked="0"/>
    </xf>
    <xf numFmtId="171" fontId="1" fillId="2" borderId="2" xfId="2" applyNumberFormat="1" applyBorder="1" applyAlignment="1">
      <alignment horizontal="center" vertical="center"/>
    </xf>
    <xf numFmtId="171" fontId="0" fillId="0" borderId="1" xfId="0" applyNumberFormat="1" applyBorder="1" applyAlignment="1">
      <alignment horizontal="center" vertical="center"/>
    </xf>
    <xf numFmtId="171" fontId="0" fillId="0" borderId="1" xfId="0" applyNumberFormat="1" applyBorder="1"/>
    <xf numFmtId="171" fontId="0" fillId="0" borderId="8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" fontId="27" fillId="0" borderId="1" xfId="0" applyNumberFormat="1" applyFont="1" applyBorder="1" applyAlignment="1" applyProtection="1">
      <alignment horizontal="center" vertical="center"/>
      <protection hidden="1"/>
    </xf>
    <xf numFmtId="171" fontId="2" fillId="5" borderId="2" xfId="6" applyNumberFormat="1" applyBorder="1" applyAlignment="1" applyProtection="1">
      <alignment horizontal="center" vertical="center"/>
      <protection hidden="1"/>
    </xf>
    <xf numFmtId="171" fontId="0" fillId="0" borderId="0" xfId="0" applyNumberFormat="1" applyProtection="1">
      <protection hidden="1"/>
    </xf>
    <xf numFmtId="171" fontId="3" fillId="0" borderId="8" xfId="1" applyNumberFormat="1" applyFont="1" applyBorder="1" applyAlignment="1" applyProtection="1">
      <alignment horizontal="center" vertical="center"/>
      <protection hidden="1"/>
    </xf>
    <xf numFmtId="171" fontId="27" fillId="0" borderId="8" xfId="1" applyNumberFormat="1" applyFont="1" applyBorder="1" applyAlignment="1" applyProtection="1">
      <alignment horizontal="center" vertical="center"/>
      <protection hidden="1"/>
    </xf>
    <xf numFmtId="171" fontId="3" fillId="0" borderId="0" xfId="1" applyNumberFormat="1" applyFont="1" applyBorder="1" applyAlignment="1" applyProtection="1">
      <alignment horizontal="center" vertical="center"/>
      <protection hidden="1"/>
    </xf>
    <xf numFmtId="14" fontId="26" fillId="12" borderId="30" xfId="4" applyNumberFormat="1" applyFont="1" applyFill="1" applyBorder="1" applyAlignment="1" applyProtection="1">
      <alignment horizontal="center" vertical="center"/>
      <protection hidden="1"/>
    </xf>
    <xf numFmtId="14" fontId="26" fillId="12" borderId="31" xfId="4" applyNumberFormat="1" applyFont="1" applyFill="1" applyBorder="1" applyAlignment="1" applyProtection="1">
      <alignment horizontal="center" vertical="center"/>
      <protection hidden="1"/>
    </xf>
    <xf numFmtId="14" fontId="26" fillId="12" borderId="32" xfId="4" applyNumberFormat="1" applyFont="1" applyFill="1" applyBorder="1" applyAlignment="1" applyProtection="1">
      <alignment horizontal="center" vertical="center"/>
      <protection hidden="1"/>
    </xf>
    <xf numFmtId="0" fontId="21" fillId="13" borderId="15" xfId="0" applyFont="1" applyFill="1" applyBorder="1" applyAlignment="1" applyProtection="1">
      <alignment horizontal="center" vertical="center"/>
      <protection hidden="1"/>
    </xf>
    <xf numFmtId="0" fontId="21" fillId="13" borderId="0" xfId="0" applyFont="1" applyFill="1" applyBorder="1" applyAlignment="1" applyProtection="1">
      <alignment horizontal="center" vertical="center"/>
      <protection hidden="1"/>
    </xf>
    <xf numFmtId="0" fontId="21" fillId="13" borderId="28" xfId="0" applyFont="1" applyFill="1" applyBorder="1" applyAlignment="1" applyProtection="1">
      <alignment horizontal="center" vertical="center"/>
      <protection hidden="1"/>
    </xf>
    <xf numFmtId="0" fontId="21" fillId="13" borderId="10" xfId="0" applyFont="1" applyFill="1" applyBorder="1" applyAlignment="1" applyProtection="1">
      <alignment horizontal="center" vertical="center"/>
      <protection hidden="1"/>
    </xf>
    <xf numFmtId="0" fontId="21" fillId="13" borderId="26" xfId="0" applyFont="1" applyFill="1" applyBorder="1" applyAlignment="1" applyProtection="1">
      <alignment horizontal="center" vertical="center"/>
      <protection hidden="1"/>
    </xf>
    <xf numFmtId="0" fontId="21" fillId="13" borderId="11" xfId="0" applyFont="1" applyFill="1" applyBorder="1" applyAlignment="1" applyProtection="1">
      <alignment horizontal="center" vertical="center"/>
      <protection hidden="1"/>
    </xf>
    <xf numFmtId="167" fontId="22" fillId="13" borderId="0" xfId="0" applyNumberFormat="1" applyFont="1" applyFill="1" applyBorder="1" applyAlignment="1" applyProtection="1">
      <alignment horizontal="center" vertical="center"/>
      <protection locked="0"/>
    </xf>
    <xf numFmtId="167" fontId="22" fillId="13" borderId="19" xfId="0" applyNumberFormat="1" applyFont="1" applyFill="1" applyBorder="1" applyAlignment="1" applyProtection="1">
      <alignment horizontal="center" vertical="center"/>
      <protection locked="0"/>
    </xf>
    <xf numFmtId="167" fontId="22" fillId="13" borderId="10" xfId="0" applyNumberFormat="1" applyFont="1" applyFill="1" applyBorder="1" applyAlignment="1" applyProtection="1">
      <alignment horizontal="center" vertical="center"/>
      <protection locked="0"/>
    </xf>
    <xf numFmtId="167" fontId="22" fillId="13" borderId="29" xfId="0" applyNumberFormat="1" applyFont="1" applyFill="1" applyBorder="1" applyAlignment="1" applyProtection="1">
      <alignment horizontal="center" vertical="center"/>
      <protection locked="0"/>
    </xf>
    <xf numFmtId="167" fontId="22" fillId="13" borderId="11" xfId="0" applyNumberFormat="1" applyFont="1" applyFill="1" applyBorder="1" applyAlignment="1" applyProtection="1">
      <alignment horizontal="center" vertical="center"/>
      <protection locked="0"/>
    </xf>
    <xf numFmtId="167" fontId="22" fillId="13" borderId="27" xfId="0" applyNumberFormat="1" applyFont="1" applyFill="1" applyBorder="1" applyAlignment="1" applyProtection="1">
      <alignment horizontal="center" vertical="center"/>
      <protection locked="0"/>
    </xf>
    <xf numFmtId="1" fontId="22" fillId="13" borderId="11" xfId="0" applyNumberFormat="1" applyFont="1" applyFill="1" applyBorder="1" applyAlignment="1" applyProtection="1">
      <alignment horizontal="center" vertical="center"/>
      <protection locked="0"/>
    </xf>
    <xf numFmtId="1" fontId="22" fillId="13" borderId="10" xfId="0" applyNumberFormat="1" applyFont="1" applyFill="1" applyBorder="1" applyAlignment="1" applyProtection="1">
      <alignment horizontal="center" vertical="center"/>
      <protection locked="0"/>
    </xf>
    <xf numFmtId="0" fontId="21" fillId="13" borderId="27" xfId="0" applyFont="1" applyFill="1" applyBorder="1" applyAlignment="1" applyProtection="1">
      <alignment horizontal="center" vertical="center"/>
      <protection hidden="1"/>
    </xf>
    <xf numFmtId="0" fontId="21" fillId="13" borderId="29" xfId="0" applyFont="1" applyFill="1" applyBorder="1" applyAlignment="1" applyProtection="1">
      <alignment horizontal="center" vertical="center"/>
      <protection hidden="1"/>
    </xf>
    <xf numFmtId="0" fontId="21" fillId="13" borderId="22" xfId="0" applyFont="1" applyFill="1" applyBorder="1" applyAlignment="1" applyProtection="1">
      <alignment horizontal="center" vertical="center"/>
      <protection hidden="1"/>
    </xf>
    <xf numFmtId="0" fontId="21" fillId="13" borderId="23" xfId="0" applyFont="1" applyFill="1" applyBorder="1" applyAlignment="1" applyProtection="1">
      <alignment horizontal="center" vertical="center"/>
      <protection hidden="1"/>
    </xf>
    <xf numFmtId="10" fontId="22" fillId="13" borderId="11" xfId="0" applyNumberFormat="1" applyFont="1" applyFill="1" applyBorder="1" applyAlignment="1" applyProtection="1">
      <alignment horizontal="center" vertical="center"/>
      <protection locked="0"/>
    </xf>
    <xf numFmtId="10" fontId="22" fillId="13" borderId="27" xfId="0" applyNumberFormat="1" applyFont="1" applyFill="1" applyBorder="1" applyAlignment="1" applyProtection="1">
      <alignment horizontal="center" vertical="center"/>
      <protection locked="0"/>
    </xf>
    <xf numFmtId="10" fontId="22" fillId="13" borderId="10" xfId="0" applyNumberFormat="1" applyFont="1" applyFill="1" applyBorder="1" applyAlignment="1" applyProtection="1">
      <alignment horizontal="center" vertical="center"/>
      <protection locked="0"/>
    </xf>
    <xf numFmtId="10" fontId="22" fillId="13" borderId="29" xfId="0" applyNumberFormat="1" applyFont="1" applyFill="1" applyBorder="1" applyAlignment="1" applyProtection="1">
      <alignment horizontal="center" vertical="center"/>
      <protection locked="0"/>
    </xf>
    <xf numFmtId="167" fontId="22" fillId="13" borderId="11" xfId="0" applyNumberFormat="1" applyFont="1" applyFill="1" applyBorder="1" applyAlignment="1" applyProtection="1">
      <alignment horizontal="center" vertical="center"/>
      <protection hidden="1"/>
    </xf>
    <xf numFmtId="167" fontId="22" fillId="13" borderId="27" xfId="0" applyNumberFormat="1" applyFont="1" applyFill="1" applyBorder="1" applyAlignment="1" applyProtection="1">
      <alignment horizontal="center" vertical="center"/>
      <protection hidden="1"/>
    </xf>
    <xf numFmtId="167" fontId="22" fillId="13" borderId="10" xfId="0" applyNumberFormat="1" applyFont="1" applyFill="1" applyBorder="1" applyAlignment="1" applyProtection="1">
      <alignment horizontal="center" vertical="center"/>
      <protection hidden="1"/>
    </xf>
    <xf numFmtId="167" fontId="22" fillId="13" borderId="29" xfId="0" applyNumberFormat="1" applyFont="1" applyFill="1" applyBorder="1" applyAlignment="1" applyProtection="1">
      <alignment horizontal="center" vertical="center"/>
      <protection hidden="1"/>
    </xf>
    <xf numFmtId="167" fontId="22" fillId="13" borderId="23" xfId="0" applyNumberFormat="1" applyFont="1" applyFill="1" applyBorder="1" applyAlignment="1" applyProtection="1">
      <alignment horizontal="center" vertical="center"/>
      <protection hidden="1"/>
    </xf>
    <xf numFmtId="167" fontId="22" fillId="13" borderId="24" xfId="0" applyNumberFormat="1" applyFont="1" applyFill="1" applyBorder="1" applyAlignment="1" applyProtection="1">
      <alignment horizontal="center" vertical="center"/>
      <protection hidden="1"/>
    </xf>
    <xf numFmtId="0" fontId="25" fillId="12" borderId="16" xfId="6" applyFont="1" applyFill="1" applyBorder="1" applyAlignment="1" applyProtection="1">
      <alignment horizontal="center" vertical="center"/>
      <protection hidden="1"/>
    </xf>
    <xf numFmtId="0" fontId="25" fillId="12" borderId="17" xfId="6" applyFont="1" applyFill="1" applyBorder="1" applyAlignment="1" applyProtection="1">
      <alignment horizontal="center" vertical="center"/>
      <protection hidden="1"/>
    </xf>
    <xf numFmtId="0" fontId="25" fillId="12" borderId="18" xfId="6" applyFont="1" applyFill="1" applyBorder="1" applyAlignment="1" applyProtection="1">
      <alignment horizontal="center" vertical="center"/>
      <protection hidden="1"/>
    </xf>
    <xf numFmtId="0" fontId="23" fillId="14" borderId="0" xfId="7" applyFont="1" applyFill="1" applyBorder="1" applyAlignment="1" applyProtection="1">
      <alignment horizontal="center" vertical="center"/>
      <protection hidden="1"/>
    </xf>
    <xf numFmtId="0" fontId="16" fillId="11" borderId="10" xfId="0" applyFont="1" applyFill="1" applyBorder="1" applyAlignment="1" applyProtection="1">
      <alignment horizontal="right" vertical="center"/>
      <protection hidden="1"/>
    </xf>
    <xf numFmtId="0" fontId="13" fillId="11" borderId="10" xfId="0" applyFont="1" applyFill="1" applyBorder="1" applyAlignment="1" applyProtection="1">
      <alignment horizontal="left" vertical="center"/>
      <protection locked="0"/>
    </xf>
    <xf numFmtId="0" fontId="16" fillId="11" borderId="20" xfId="0" applyFont="1" applyFill="1" applyBorder="1" applyAlignment="1" applyProtection="1">
      <alignment horizontal="right" vertical="center"/>
      <protection hidden="1"/>
    </xf>
    <xf numFmtId="0" fontId="13" fillId="11" borderId="20" xfId="0" applyFont="1" applyFill="1" applyBorder="1" applyAlignment="1" applyProtection="1">
      <alignment horizontal="left" vertical="center"/>
      <protection locked="0"/>
    </xf>
    <xf numFmtId="10" fontId="14" fillId="11" borderId="20" xfId="1" applyNumberFormat="1" applyFont="1" applyFill="1" applyBorder="1" applyAlignment="1" applyProtection="1">
      <alignment horizontal="left" vertical="center"/>
      <protection locked="0"/>
    </xf>
    <xf numFmtId="10" fontId="15" fillId="11" borderId="20" xfId="1" applyNumberFormat="1" applyFont="1" applyFill="1" applyBorder="1" applyAlignment="1" applyProtection="1">
      <alignment horizontal="left" vertical="center"/>
      <protection locked="0"/>
    </xf>
    <xf numFmtId="10" fontId="13" fillId="11" borderId="20" xfId="1" applyNumberFormat="1" applyFont="1" applyFill="1" applyBorder="1" applyAlignment="1" applyProtection="1">
      <alignment horizontal="left" vertical="center"/>
      <protection locked="0"/>
    </xf>
    <xf numFmtId="9" fontId="14" fillId="11" borderId="20" xfId="1" applyFont="1" applyFill="1" applyBorder="1" applyAlignment="1" applyProtection="1">
      <alignment horizontal="left" vertical="center"/>
      <protection locked="0"/>
    </xf>
    <xf numFmtId="0" fontId="24" fillId="11" borderId="10" xfId="0" applyFont="1" applyFill="1" applyBorder="1" applyAlignment="1" applyProtection="1">
      <alignment horizontal="left" vertical="center"/>
      <protection hidden="1"/>
    </xf>
    <xf numFmtId="0" fontId="24" fillId="11" borderId="10" xfId="0" applyFont="1" applyFill="1" applyBorder="1" applyAlignment="1" applyProtection="1">
      <alignment horizontal="left"/>
      <protection hidden="1"/>
    </xf>
    <xf numFmtId="0" fontId="3" fillId="11" borderId="20" xfId="0" applyFont="1" applyFill="1" applyBorder="1" applyAlignment="1" applyProtection="1">
      <alignment horizontal="left" vertical="center"/>
      <protection locked="0"/>
    </xf>
    <xf numFmtId="0" fontId="3" fillId="11" borderId="10" xfId="0" applyFont="1" applyFill="1" applyBorder="1" applyAlignment="1" applyProtection="1">
      <alignment horizontal="left" vertical="center"/>
      <protection locked="0"/>
    </xf>
    <xf numFmtId="0" fontId="23" fillId="12" borderId="0" xfId="6" applyFont="1" applyFill="1" applyBorder="1" applyAlignment="1" applyProtection="1">
      <alignment horizontal="center"/>
      <protection hidden="1"/>
    </xf>
    <xf numFmtId="0" fontId="3" fillId="11" borderId="1" xfId="0" applyFont="1" applyFill="1" applyBorder="1" applyAlignment="1" applyProtection="1">
      <alignment horizontal="left" vertical="center" wrapText="1"/>
      <protection locked="0"/>
    </xf>
    <xf numFmtId="0" fontId="8" fillId="12" borderId="12" xfId="6" applyFont="1" applyFill="1" applyBorder="1" applyAlignment="1" applyProtection="1">
      <alignment horizontal="center" vertical="center"/>
      <protection hidden="1"/>
    </xf>
    <xf numFmtId="0" fontId="8" fillId="12" borderId="13" xfId="6" applyFont="1" applyFill="1" applyBorder="1" applyAlignment="1" applyProtection="1">
      <alignment horizontal="center" vertical="center"/>
      <protection hidden="1"/>
    </xf>
    <xf numFmtId="0" fontId="8" fillId="12" borderId="14" xfId="6" applyFont="1" applyFill="1" applyBorder="1" applyAlignment="1" applyProtection="1">
      <alignment horizontal="center" vertical="center"/>
      <protection hidden="1"/>
    </xf>
    <xf numFmtId="0" fontId="8" fillId="12" borderId="22" xfId="6" applyFont="1" applyFill="1" applyBorder="1" applyAlignment="1" applyProtection="1">
      <alignment horizontal="center" vertical="center"/>
      <protection hidden="1"/>
    </xf>
    <xf numFmtId="0" fontId="8" fillId="12" borderId="23" xfId="6" applyFont="1" applyFill="1" applyBorder="1" applyAlignment="1" applyProtection="1">
      <alignment horizontal="center" vertical="center"/>
      <protection hidden="1"/>
    </xf>
    <xf numFmtId="0" fontId="8" fillId="12" borderId="24" xfId="6" applyFont="1" applyFill="1" applyBorder="1" applyAlignment="1" applyProtection="1">
      <alignment horizontal="center" vertical="center"/>
      <protection hidden="1"/>
    </xf>
    <xf numFmtId="0" fontId="25" fillId="14" borderId="16" xfId="6" applyFont="1" applyFill="1" applyBorder="1" applyAlignment="1" applyProtection="1">
      <alignment horizontal="center" vertical="center"/>
      <protection hidden="1"/>
    </xf>
    <xf numFmtId="0" fontId="25" fillId="14" borderId="17" xfId="6" applyFont="1" applyFill="1" applyBorder="1" applyAlignment="1" applyProtection="1">
      <alignment horizontal="center" vertical="center"/>
      <protection hidden="1"/>
    </xf>
    <xf numFmtId="0" fontId="25" fillId="14" borderId="18" xfId="6" applyFont="1" applyFill="1" applyBorder="1" applyAlignment="1" applyProtection="1">
      <alignment horizontal="center" vertical="center"/>
      <protection hidden="1"/>
    </xf>
    <xf numFmtId="0" fontId="20" fillId="15" borderId="1" xfId="9" applyFont="1" applyFill="1" applyBorder="1" applyAlignment="1" applyProtection="1">
      <alignment horizontal="center" vertical="center"/>
      <protection hidden="1"/>
    </xf>
    <xf numFmtId="0" fontId="23" fillId="16" borderId="16" xfId="10" applyFont="1" applyFill="1" applyBorder="1" applyAlignment="1" applyProtection="1">
      <alignment horizontal="center" vertical="center"/>
      <protection hidden="1"/>
    </xf>
    <xf numFmtId="0" fontId="23" fillId="16" borderId="17" xfId="10" applyFont="1" applyFill="1" applyBorder="1" applyAlignment="1" applyProtection="1">
      <alignment horizontal="center" vertical="center"/>
      <protection hidden="1"/>
    </xf>
    <xf numFmtId="0" fontId="23" fillId="16" borderId="18" xfId="10" applyFont="1" applyFill="1" applyBorder="1" applyAlignment="1" applyProtection="1">
      <alignment horizontal="center" vertical="center"/>
      <protection hidden="1"/>
    </xf>
    <xf numFmtId="0" fontId="3" fillId="11" borderId="23" xfId="0" applyFont="1" applyFill="1" applyBorder="1" applyAlignment="1" applyProtection="1">
      <alignment horizontal="center" vertical="center"/>
      <protection hidden="1"/>
    </xf>
    <xf numFmtId="0" fontId="11" fillId="15" borderId="1" xfId="9" applyFont="1" applyFill="1" applyBorder="1" applyAlignment="1" applyProtection="1">
      <alignment horizontal="center" vertical="center"/>
      <protection hidden="1"/>
    </xf>
    <xf numFmtId="0" fontId="0" fillId="0" borderId="10" xfId="0" applyFont="1" applyBorder="1" applyAlignment="1" applyProtection="1">
      <alignment horizontal="left" vertical="center"/>
      <protection hidden="1"/>
    </xf>
    <xf numFmtId="0" fontId="3" fillId="0" borderId="10" xfId="0" applyFont="1" applyBorder="1" applyAlignment="1" applyProtection="1">
      <alignment horizontal="left" vertical="center"/>
      <protection hidden="1"/>
    </xf>
    <xf numFmtId="0" fontId="19" fillId="12" borderId="16" xfId="8" applyFont="1" applyFill="1" applyBorder="1" applyAlignment="1" applyProtection="1">
      <alignment horizontal="center" vertical="center"/>
      <protection hidden="1"/>
    </xf>
    <xf numFmtId="0" fontId="19" fillId="12" borderId="17" xfId="8" applyFont="1" applyFill="1" applyBorder="1" applyAlignment="1" applyProtection="1">
      <alignment horizontal="center" vertical="center"/>
      <protection hidden="1"/>
    </xf>
    <xf numFmtId="0" fontId="19" fillId="12" borderId="18" xfId="8" applyFont="1" applyFill="1" applyBorder="1" applyAlignment="1" applyProtection="1">
      <alignment horizontal="center" vertical="center"/>
      <protection hidden="1"/>
    </xf>
    <xf numFmtId="0" fontId="3" fillId="11" borderId="0" xfId="0" applyFont="1" applyFill="1" applyAlignment="1" applyProtection="1">
      <alignment horizontal="center" vertical="center"/>
      <protection hidden="1"/>
    </xf>
    <xf numFmtId="14" fontId="5" fillId="12" borderId="1" xfId="4" applyNumberFormat="1" applyFont="1" applyFill="1" applyBorder="1" applyAlignment="1" applyProtection="1">
      <alignment horizontal="center" vertical="center"/>
      <protection hidden="1"/>
    </xf>
    <xf numFmtId="14" fontId="3" fillId="0" borderId="10" xfId="0" applyNumberFormat="1" applyFont="1" applyBorder="1" applyAlignment="1" applyProtection="1">
      <alignment horizontal="center" vertical="center"/>
      <protection hidden="1"/>
    </xf>
    <xf numFmtId="0" fontId="8" fillId="6" borderId="0" xfId="7" applyFont="1" applyAlignment="1">
      <alignment horizontal="center" vertical="center"/>
    </xf>
  </cellXfs>
  <cellStyles count="12">
    <cellStyle name="20% - Ênfase6" xfId="9" builtinId="50"/>
    <cellStyle name="40% - Ênfase1" xfId="2" builtinId="31"/>
    <cellStyle name="60% - Ênfase5" xfId="5" builtinId="48"/>
    <cellStyle name="60% - Ênfase6 2" xfId="10" xr:uid="{9400684D-AEBC-437E-A6C1-10060FD1A84F}"/>
    <cellStyle name="Ênfase1" xfId="7" builtinId="29"/>
    <cellStyle name="Ênfase5" xfId="4" builtinId="45"/>
    <cellStyle name="Ênfase6" xfId="6" builtinId="49"/>
    <cellStyle name="Moeda" xfId="11" builtinId="4"/>
    <cellStyle name="Moeda 2" xfId="3" xr:uid="{00000000-0005-0000-0000-000005000000}"/>
    <cellStyle name="Normal" xfId="0" builtinId="0"/>
    <cellStyle name="Porcentagem" xfId="1" builtinId="5"/>
    <cellStyle name="Ruim" xfId="8" builtinId="27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_-[$$-409]* #,##0.00_ ;_-[$$-409]* \-#,##0.00\ ;_-[$$-409]* &quot;-&quot;??_ ;_-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_-[$$-409]* #,##0.00_ ;_-[$$-409]* \-#,##0.00\ ;_-[$$-409]* &quot;-&quot;??_ ;_-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_-[$$-409]* #,##0.00_ ;_-[$$-409]* \-#,##0.00\ ;_-[$$-409]* &quot;-&quot;??_ ;_-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[$-416]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[$-416]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69" formatCode="0.0%"/>
    </dxf>
    <dxf>
      <numFmt numFmtId="4" formatCode="#,##0.00"/>
    </dxf>
    <dxf>
      <numFmt numFmtId="14" formatCode="0.00%"/>
    </dxf>
    <dxf>
      <numFmt numFmtId="14" formatCode="0.00%"/>
    </dxf>
    <dxf>
      <numFmt numFmtId="166" formatCode="&quot;R$&quot;\ #,##0.00"/>
    </dxf>
    <dxf>
      <numFmt numFmtId="166" formatCode="&quot;R$&quot;\ #,##0.00"/>
    </dxf>
    <dxf>
      <numFmt numFmtId="171" formatCode="_-[$$-409]* #,##0.00_ ;_-[$$-409]* \-#,##0.00\ ;_-[$$-409]* &quot;-&quot;??_ ;_-@_ "/>
    </dxf>
    <dxf>
      <numFmt numFmtId="171" formatCode="_-[$$-409]* #,##0.00_ ;_-[$$-409]* \-#,##0.00\ ;_-[$$-409]* &quot;-&quot;??_ ;_-@_ "/>
    </dxf>
    <dxf>
      <numFmt numFmtId="14" formatCode="0.00%"/>
    </dxf>
    <dxf>
      <numFmt numFmtId="14" formatCode="0.00%"/>
    </dxf>
    <dxf>
      <numFmt numFmtId="14" formatCode="0.00%"/>
    </dxf>
    <dxf>
      <numFmt numFmtId="171" formatCode="_-[$$-409]* #,##0.00_ ;_-[$$-409]* \-#,##0.00\ ;_-[$$-409]* &quot;-&quot;??_ ;_-@_ "/>
    </dxf>
    <dxf>
      <numFmt numFmtId="171" formatCode="_-[$$-409]* #,##0.00_ ;_-[$$-409]* \-#,##0.00\ ;_-[$$-409]* &quot;-&quot;??_ ;_-@_ "/>
    </dxf>
    <dxf>
      <numFmt numFmtId="171" formatCode="_-[$$-409]* #,##0.00_ ;_-[$$-409]* \-#,##0.00\ ;_-[$$-409]* &quot;-&quot;??_ ;_-@_ "/>
    </dxf>
    <dxf>
      <numFmt numFmtId="171" formatCode="_-[$$-409]* #,##0.00_ ;_-[$$-409]* \-#,##0.00\ ;_-[$$-409]* &quot;-&quot;??_ ;_-@_ "/>
    </dxf>
    <dxf>
      <numFmt numFmtId="171" formatCode="_-[$$-409]* #,##0.00_ ;_-[$$-409]* \-#,##0.00\ ;_-[$$-409]* &quot;-&quot;??_ ;_-@_ "/>
    </dxf>
    <dxf>
      <numFmt numFmtId="171" formatCode="_-[$$-409]* #,##0.00_ ;_-[$$-409]* \-#,##0.00\ ;_-[$$-409]* &quot;-&quot;??_ ;_-@_ "/>
    </dxf>
    <dxf>
      <numFmt numFmtId="171" formatCode="_-[$$-409]* #,##0.00_ ;_-[$$-409]* \-#,##0.00\ ;_-[$$-409]* &quot;-&quot;??_ ;_-@_ "/>
    </dxf>
    <dxf>
      <numFmt numFmtId="14" formatCode="0.00%"/>
    </dxf>
    <dxf>
      <numFmt numFmtId="14" formatCode="0.00%"/>
    </dxf>
    <dxf>
      <numFmt numFmtId="171" formatCode="_-[$$-409]* #,##0.00_ ;_-[$$-409]* \-#,##0.00\ ;_-[$$-409]* &quot;-&quot;??_ ;_-@_ "/>
    </dxf>
    <dxf>
      <numFmt numFmtId="171" formatCode="_-[$$-409]* #,##0.00_ ;_-[$$-409]* \-#,##0.00\ ;_-[$$-409]* &quot;-&quot;??_ ;_-@_ "/>
    </dxf>
    <dxf>
      <numFmt numFmtId="166" formatCode="&quot;R$&quot;\ #,##0.00"/>
    </dxf>
    <dxf>
      <numFmt numFmtId="14" formatCode="0.00%"/>
    </dxf>
    <dxf>
      <numFmt numFmtId="14" formatCode="0.00%"/>
    </dxf>
    <dxf>
      <font>
        <strike val="0"/>
        <color theme="9" tint="-0.24994659260841701"/>
      </font>
    </dxf>
    <dxf>
      <font>
        <strike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1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1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1" formatCode="_-[$$-409]* #,##0.00_ ;_-[$$-409]* \-#,##0.00\ ;_-[$$-409]* &quot;-&quot;??_ ;_-@_ "/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1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1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1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1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1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1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0" formatCode="[$-416]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1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1"/>
    </dxf>
    <dxf>
      <font>
        <color theme="9" tint="-0.24994659260841701"/>
      </font>
    </dxf>
    <dxf>
      <font>
        <color rgb="FFC0000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00000"/>
      </font>
    </dxf>
    <dxf>
      <font>
        <b/>
        <color theme="1"/>
      </font>
      <border>
        <bottom style="thin">
          <color rgb="FFC72B11"/>
        </bottom>
        <vertical/>
        <horizontal/>
      </border>
    </dxf>
    <dxf>
      <font>
        <b/>
        <i val="0"/>
        <strike val="0"/>
        <u val="none"/>
        <sz val="12"/>
        <color theme="0"/>
        <name val="Verdana"/>
        <family val="2"/>
        <scheme val="none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b/>
        <sz val="11"/>
        <color theme="1"/>
      </font>
      <border>
        <vertical/>
        <horizontal/>
      </border>
    </dxf>
    <dxf>
      <font>
        <sz val="9"/>
        <color theme="1"/>
        <name val="Microsoft PhagsPa"/>
        <scheme val="none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Tempo-TraderX" pivot="0" table="0" count="9" xr9:uid="{00000000-0011-0000-FFFF-FFFF00000000}">
      <tableStyleElement type="wholeTable" dxfId="93"/>
      <tableStyleElement type="headerRow" dxfId="92"/>
    </tableStyle>
    <tableStyle name="TraderX" pivot="0" table="0" count="10" xr9:uid="{00000000-0011-0000-FFFF-FFFF01000000}">
      <tableStyleElement type="wholeTable" dxfId="91"/>
      <tableStyleElement type="headerRow" dxfId="90"/>
    </tableStyle>
  </tableStyles>
  <colors>
    <mruColors>
      <color rgb="FFC72B11"/>
      <color rgb="FFE8E8E8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strike val="0"/>
            <sz val="12"/>
            <color theme="0"/>
            <name val="Verdana"/>
            <family val="2"/>
            <scheme val="none"/>
          </font>
          <fill>
            <patternFill patternType="solid">
              <fgColor rgb="FFC72B11"/>
              <bgColor rgb="FFC00000"/>
            </patternFill>
          </fill>
          <border>
            <left style="thin">
              <color rgb="FFC72B11"/>
            </left>
            <right style="thin">
              <color rgb="FFC72B11"/>
            </right>
            <top style="thin">
              <color rgb="FFC72B11"/>
            </top>
            <bottom style="thin">
              <color rgb="FFC72B11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72B11"/>
              <bgColor rgb="FFC72B11"/>
            </patternFill>
          </fill>
          <border>
            <left style="thin">
              <color rgb="FFC72B11"/>
            </left>
            <right style="thin">
              <color rgb="FFC72B11"/>
            </right>
            <top style="thin">
              <color rgb="FFC72B11"/>
            </top>
            <bottom style="thin">
              <color rgb="FFC72B11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TraderX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7">
        <dxf>
          <fill>
            <patternFill patternType="solid">
              <fgColor theme="5" tint="0.39997558519241921"/>
              <bgColor theme="5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5"/>
              </stop>
              <stop position="1">
                <color theme="5" tint="-0.499984740745262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5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empo-TraderX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5.xml"/><Relationship Id="rId10" Type="http://schemas.openxmlformats.org/officeDocument/2006/relationships/pivotCacheDefinition" Target="pivotCache/pivotCacheDefinition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7/relationships/slicerCache" Target="slicerCaches/slicerCach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[Gestao_do_TraderX_v3.xlsm]Dinâmicas!Tabela dinâmica11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ln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numFmt formatCode="0%" sourceLinked="0"/>
          <c:spPr/>
          <c:txPr>
            <a:bodyPr/>
            <a:lstStyle/>
            <a:p>
              <a:pPr>
                <a:defRPr sz="1600" b="1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75000"/>
            </a:schemeClr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7"/>
        <c:spPr>
          <a:solidFill>
            <a:srgbClr val="C00000"/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8"/>
        <c:spPr>
          <a:solidFill>
            <a:schemeClr val="accent6">
              <a:lumMod val="75000"/>
            </a:schemeClr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9"/>
        <c:spPr>
          <a:ln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numFmt formatCode="0%" sourceLinked="0"/>
          <c:spPr/>
          <c:txPr>
            <a:bodyPr/>
            <a:lstStyle/>
            <a:p>
              <a:pPr>
                <a:defRPr sz="1600" b="1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>
              <a:lumMod val="75000"/>
            </a:schemeClr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11"/>
        <c:spPr>
          <a:solidFill>
            <a:srgbClr val="C00000"/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12"/>
        <c:spPr>
          <a:solidFill>
            <a:schemeClr val="accent6">
              <a:lumMod val="75000"/>
            </a:schemeClr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13"/>
        <c:spPr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numFmt formatCode="0%" sourceLinked="0"/>
          <c:spPr/>
          <c:txPr>
            <a:bodyPr/>
            <a:lstStyle/>
            <a:p>
              <a:pPr>
                <a:defRPr sz="1600" b="1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>
              <a:lumMod val="75000"/>
            </a:schemeClr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15"/>
        <c:spPr>
          <a:solidFill>
            <a:srgbClr val="C00000"/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</c:pivotFmt>
      <c:pivotFmt>
        <c:idx val="16"/>
        <c:spPr>
          <a:solidFill>
            <a:schemeClr val="accent6">
              <a:lumMod val="75000"/>
            </a:schemeClr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Dinâmicas!$B$6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explosion val="5"/>
          <c:dPt>
            <c:idx val="0"/>
            <c:bubble3D val="0"/>
            <c:spPr>
              <a:solidFill>
                <a:schemeClr val="accent4">
                  <a:lumMod val="75000"/>
                </a:schemeClr>
              </a:solidFill>
              <a:ln w="25400">
                <a:noFill/>
              </a:ln>
              <a:effectLst/>
              <a:scene3d>
                <a:camera prst="orthographicFront"/>
                <a:lightRig rig="threePt" dir="t"/>
              </a:scene3d>
              <a:sp3d prstMaterial="softEdge">
                <a:bevelT/>
              </a:sp3d>
            </c:spPr>
            <c:extLst>
              <c:ext xmlns:c16="http://schemas.microsoft.com/office/drawing/2014/chart" uri="{C3380CC4-5D6E-409C-BE32-E72D297353CC}">
                <c16:uniqueId val="{00000001-43D6-4E70-A2DB-B05B873E2DB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2540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43D6-4E70-A2DB-B05B873E2DB5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2540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5-43D6-4E70-A2DB-B05B873E2DB5}"/>
              </c:ext>
            </c:extLst>
          </c:dPt>
          <c:dLbls>
            <c:numFmt formatCode="0%" sourceLinked="0"/>
            <c:spPr/>
            <c:txPr>
              <a:bodyPr/>
              <a:lstStyle/>
              <a:p>
                <a:pPr>
                  <a:defRPr sz="1600" b="1">
                    <a:solidFill>
                      <a:schemeClr val="bg1"/>
                    </a:solidFill>
                    <a:latin typeface="Verdana" pitchFamily="34" charset="0"/>
                    <a:ea typeface="Verdana" pitchFamily="34" charset="0"/>
                    <a:cs typeface="Verdana" pitchFamily="34" charset="0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Dinâmicas!$A$7:$A$10</c:f>
              <c:strCache>
                <c:ptCount val="3"/>
                <c:pt idx="0">
                  <c:v>Breakeven</c:v>
                </c:pt>
                <c:pt idx="1">
                  <c:v>Stop Loss</c:v>
                </c:pt>
                <c:pt idx="2">
                  <c:v>Take Profit</c:v>
                </c:pt>
              </c:strCache>
            </c:strRef>
          </c:cat>
          <c:val>
            <c:numRef>
              <c:f>Dinâmicas!$B$7:$B$10</c:f>
              <c:numCache>
                <c:formatCode>0.00%</c:formatCode>
                <c:ptCount val="3"/>
                <c:pt idx="0">
                  <c:v>0.25</c:v>
                </c:pt>
                <c:pt idx="1">
                  <c:v>0.25</c:v>
                </c:pt>
                <c:pt idx="2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D6-4E70-A2DB-B05B873E2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36" footer="0.31496062000000036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[Gestao_do_TraderX_v3.xlsm]Dinâmicas!Tabela dinâmica2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600" b="1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solidFill>
            <a:srgbClr val="C00000"/>
          </a:solidFill>
          <a:ln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600" b="1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600" b="1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Dinâmicas!$H$6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softEdge">
              <a:bevelT/>
            </a:sp3d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504B-483A-87D6-06F77B123B59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04B-483A-87D6-06F77B123B59}"/>
              </c:ext>
            </c:extLst>
          </c:dPt>
          <c:dLbls>
            <c:spPr/>
            <c:txPr>
              <a:bodyPr/>
              <a:lstStyle/>
              <a:p>
                <a:pPr>
                  <a:defRPr sz="1600" b="1">
                    <a:solidFill>
                      <a:schemeClr val="bg1"/>
                    </a:solidFill>
                    <a:latin typeface="Verdana" pitchFamily="34" charset="0"/>
                    <a:ea typeface="Verdana" pitchFamily="34" charset="0"/>
                    <a:cs typeface="Verdana" pitchFamily="34" charset="0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Dinâmicas!$G$7:$G$15</c:f>
              <c:multiLvlStrCache>
                <c:ptCount val="3"/>
                <c:lvl>
                  <c:pt idx="1">
                    <c:v>1</c:v>
                  </c:pt>
                </c:lvl>
                <c:lvl>
                  <c:pt idx="0">
                    <c:v>8</c:v>
                  </c:pt>
                  <c:pt idx="1">
                    <c:v>9</c:v>
                  </c:pt>
                  <c:pt idx="2">
                    <c:v>1</c:v>
                  </c:pt>
                </c:lvl>
                <c:lvl>
                  <c:pt idx="0">
                    <c:v>2021</c:v>
                  </c:pt>
                  <c:pt idx="2">
                    <c:v>1900</c:v>
                  </c:pt>
                </c:lvl>
              </c:multiLvlStrCache>
            </c:multiLvlStrRef>
          </c:cat>
          <c:val>
            <c:numRef>
              <c:f>Dinâmicas!$H$7:$H$15</c:f>
              <c:numCache>
                <c:formatCode>0.00%</c:formatCode>
                <c:ptCount val="3"/>
                <c:pt idx="0">
                  <c:v>0</c:v>
                </c:pt>
                <c:pt idx="1">
                  <c:v>2.231121281464531E-2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4B-483A-87D6-06F77B123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4"/>
        <c:overlap val="-27"/>
        <c:axId val="81462400"/>
        <c:axId val="81463936"/>
      </c:barChart>
      <c:catAx>
        <c:axId val="81462400"/>
        <c:scaling>
          <c:orientation val="minMax"/>
        </c:scaling>
        <c:delete val="0"/>
        <c:axPos val="b"/>
        <c:numFmt formatCode="0.0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pt-BR"/>
          </a:p>
        </c:txPr>
        <c:crossAx val="81463936"/>
        <c:crosses val="autoZero"/>
        <c:auto val="1"/>
        <c:lblAlgn val="ctr"/>
        <c:lblOffset val="100"/>
        <c:tickMarkSkip val="1"/>
        <c:noMultiLvlLbl val="1"/>
      </c:catAx>
      <c:valAx>
        <c:axId val="8146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pt-BR"/>
          </a:p>
        </c:txPr>
        <c:crossAx val="8146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36" footer="0.31496062000000036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[Gestao_do_TraderX_v3.xlsm]Dinâmicas!Tabela dinâmica4</c:name>
    <c:fmtId val="1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AD47">
              <a:lumMod val="75000"/>
            </a:srgbClr>
          </a:solidFill>
          <a:ln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5400" cap="rnd">
            <a:solidFill>
              <a:schemeClr val="accent5">
                <a:lumMod val="75000"/>
              </a:schemeClr>
            </a:solidFill>
            <a:round/>
            <a:headEnd type="oval"/>
          </a:ln>
          <a:effectLst/>
        </c:spPr>
        <c:marker>
          <c:symbol val="circle"/>
          <c:size val="7"/>
          <c:spPr>
            <a:solidFill>
              <a:schemeClr val="accent5">
                <a:lumMod val="75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  <c:spPr>
          <a:solidFill>
            <a:srgbClr val="70AD47">
              <a:lumMod val="75000"/>
            </a:srgbClr>
          </a:solidFill>
          <a:ln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5400" cap="rnd">
            <a:solidFill>
              <a:schemeClr val="accent5">
                <a:lumMod val="75000"/>
              </a:schemeClr>
            </a:solidFill>
            <a:round/>
            <a:headEnd type="oval"/>
          </a:ln>
          <a:effectLst/>
        </c:spPr>
        <c:marker>
          <c:symbol val="circle"/>
          <c:size val="7"/>
          <c:spPr>
            <a:solidFill>
              <a:schemeClr val="accent5">
                <a:lumMod val="75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70AD47">
              <a:lumMod val="75000"/>
            </a:srgbClr>
          </a:solidFill>
          <a:ln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5400" cap="rnd">
            <a:solidFill>
              <a:schemeClr val="accent5">
                <a:lumMod val="75000"/>
              </a:schemeClr>
            </a:solidFill>
            <a:round/>
            <a:headEnd type="oval"/>
          </a:ln>
          <a:effectLst/>
        </c:spPr>
        <c:marker>
          <c:symbol val="circle"/>
          <c:size val="7"/>
          <c:spPr>
            <a:solidFill>
              <a:schemeClr val="accent5">
                <a:lumMod val="75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Dinâmicas!$N$6:$N$7</c:f>
              <c:strCache>
                <c:ptCount val="1"/>
                <c:pt idx="0">
                  <c:v>$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softEdge">
              <a:bevelT/>
            </a:sp3d>
          </c:spPr>
          <c:invertIfNegative val="0"/>
          <c:cat>
            <c:multiLvlStrRef>
              <c:f>Dinâmicas!$M$8:$M$18</c:f>
              <c:multiLvlStrCache>
                <c:ptCount val="5"/>
                <c:lvl>
                  <c:pt idx="0">
                    <c:v>0</c:v>
                  </c:pt>
                  <c:pt idx="1">
                    <c:v>30</c:v>
                  </c:pt>
                  <c:pt idx="2">
                    <c:v>31</c:v>
                  </c:pt>
                  <c:pt idx="3">
                    <c:v>1</c:v>
                  </c:pt>
                  <c:pt idx="4">
                    <c:v>2</c:v>
                  </c:pt>
                </c:lvl>
                <c:lvl>
                  <c:pt idx="0">
                    <c:v>1</c:v>
                  </c:pt>
                  <c:pt idx="1">
                    <c:v>8</c:v>
                  </c:pt>
                  <c:pt idx="3">
                    <c:v>9</c:v>
                  </c:pt>
                </c:lvl>
                <c:lvl>
                  <c:pt idx="0">
                    <c:v>1900</c:v>
                  </c:pt>
                  <c:pt idx="1">
                    <c:v>2021</c:v>
                  </c:pt>
                </c:lvl>
              </c:multiLvlStrCache>
            </c:multiLvlStrRef>
          </c:cat>
          <c:val>
            <c:numRef>
              <c:f>Dinâmicas!$N$8:$N$18</c:f>
              <c:numCache>
                <c:formatCode>#,##0.00</c:formatCode>
                <c:ptCount val="5"/>
                <c:pt idx="1">
                  <c:v>237</c:v>
                </c:pt>
                <c:pt idx="2">
                  <c:v>57</c:v>
                </c:pt>
                <c:pt idx="3">
                  <c:v>-117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92-4636-959C-E51F2D541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846848"/>
        <c:axId val="82848384"/>
      </c:barChart>
      <c:lineChart>
        <c:grouping val="standard"/>
        <c:varyColors val="0"/>
        <c:ser>
          <c:idx val="1"/>
          <c:order val="1"/>
          <c:tx>
            <c:strRef>
              <c:f>Dinâmicas!$O$6:$O$7</c:f>
              <c:strCache>
                <c:ptCount val="1"/>
                <c:pt idx="0">
                  <c:v>%</c:v>
                </c:pt>
              </c:strCache>
            </c:strRef>
          </c:tx>
          <c:spPr>
            <a:ln w="25400" cap="rnd">
              <a:solidFill>
                <a:schemeClr val="accent5">
                  <a:lumMod val="75000"/>
                </a:schemeClr>
              </a:solidFill>
              <a:round/>
              <a:headEnd type="oval"/>
            </a:ln>
            <a:effectLst/>
          </c:spPr>
          <c:marker>
            <c:symbol val="circle"/>
            <c:size val="7"/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5">
                    <a:lumMod val="75000"/>
                  </a:schemeClr>
                </a:solidFill>
              </a:ln>
            </c:spPr>
          </c:marker>
          <c:cat>
            <c:multiLvlStrRef>
              <c:f>Dinâmicas!$M$8:$M$18</c:f>
              <c:multiLvlStrCache>
                <c:ptCount val="5"/>
                <c:lvl>
                  <c:pt idx="0">
                    <c:v>0</c:v>
                  </c:pt>
                  <c:pt idx="1">
                    <c:v>30</c:v>
                  </c:pt>
                  <c:pt idx="2">
                    <c:v>31</c:v>
                  </c:pt>
                  <c:pt idx="3">
                    <c:v>1</c:v>
                  </c:pt>
                  <c:pt idx="4">
                    <c:v>2</c:v>
                  </c:pt>
                </c:lvl>
                <c:lvl>
                  <c:pt idx="0">
                    <c:v>1</c:v>
                  </c:pt>
                  <c:pt idx="1">
                    <c:v>8</c:v>
                  </c:pt>
                  <c:pt idx="3">
                    <c:v>9</c:v>
                  </c:pt>
                </c:lvl>
                <c:lvl>
                  <c:pt idx="0">
                    <c:v>1900</c:v>
                  </c:pt>
                  <c:pt idx="1">
                    <c:v>2021</c:v>
                  </c:pt>
                </c:lvl>
              </c:multiLvlStrCache>
            </c:multiLvlStrRef>
          </c:cat>
          <c:val>
            <c:numRef>
              <c:f>Dinâmicas!$O$8:$O$18</c:f>
              <c:numCache>
                <c:formatCode>0.0%</c:formatCode>
                <c:ptCount val="5"/>
                <c:pt idx="0">
                  <c:v>#N/A</c:v>
                </c:pt>
                <c:pt idx="1">
                  <c:v>4.7399999999999998E-2</c:v>
                </c:pt>
                <c:pt idx="2">
                  <c:v>1.0781161339133724E-2</c:v>
                </c:pt>
                <c:pt idx="3">
                  <c:v>-2.231121281464531E-2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92-4636-959C-E51F2D541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6011792"/>
        <c:axId val="722629200"/>
      </c:lineChart>
      <c:catAx>
        <c:axId val="828468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82848384"/>
        <c:crosses val="autoZero"/>
        <c:auto val="1"/>
        <c:lblAlgn val="ctr"/>
        <c:lblOffset val="40"/>
        <c:noMultiLvlLbl val="0"/>
      </c:catAx>
      <c:valAx>
        <c:axId val="8284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pt-BR"/>
          </a:p>
        </c:txPr>
        <c:crossAx val="82846848"/>
        <c:crosses val="autoZero"/>
        <c:crossBetween val="between"/>
      </c:valAx>
      <c:valAx>
        <c:axId val="722629200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pt-BR"/>
          </a:p>
        </c:txPr>
        <c:crossAx val="816011792"/>
        <c:crosses val="max"/>
        <c:crossBetween val="between"/>
      </c:valAx>
      <c:catAx>
        <c:axId val="816011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2629200"/>
        <c:crosses val="autoZero"/>
        <c:auto val="1"/>
        <c:lblAlgn val="ctr"/>
        <c:lblOffset val="100"/>
        <c:noMultiLvlLbl val="0"/>
      </c:catAx>
      <c:dTable>
        <c:showHorzBorder val="0"/>
        <c:showVertBorder val="1"/>
        <c:showOutline val="0"/>
        <c:showKeys val="0"/>
        <c:spPr>
          <a:ln>
            <a:solidFill>
              <a:schemeClr val="tx1">
                <a:lumMod val="75000"/>
                <a:lumOff val="25000"/>
              </a:schemeClr>
            </a:solidFill>
          </a:ln>
        </c:spPr>
        <c:txPr>
          <a:bodyPr/>
          <a:lstStyle/>
          <a:p>
            <a:pPr rtl="0">
              <a:defRPr sz="120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36" footer="0.31496062000000036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[Gestao_do_TraderX_v3.xlsm]Dinâmicas!Tabela dinâmica1</c:name>
    <c:fmtId val="2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lumMod val="75000"/>
            </a:schemeClr>
          </a:solidFill>
          <a:ln w="1905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6"/>
        <c:spPr>
          <a:solidFill>
            <a:srgbClr val="FF0000"/>
          </a:solidFill>
          <a:ln w="1905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75000"/>
            </a:schemeClr>
          </a:solidFill>
          <a:ln w="1905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9"/>
        <c:spPr>
          <a:solidFill>
            <a:srgbClr val="FF0000"/>
          </a:solidFill>
          <a:ln w="1905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 w="1905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12"/>
        <c:spPr>
          <a:solidFill>
            <a:srgbClr val="FF0000"/>
          </a:solidFill>
          <a:ln w="1905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Dinâmicas!$E$6</c:f>
              <c:strCache>
                <c:ptCount val="1"/>
                <c:pt idx="0">
                  <c:v>Total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 prstMaterial="softEdge">
              <a:bevelT/>
            </a:sp3d>
          </c:spPr>
          <c:explosion val="2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softEdge">
                <a:bevelT/>
              </a:sp3d>
            </c:spPr>
            <c:extLst>
              <c:ext xmlns:c16="http://schemas.microsoft.com/office/drawing/2014/chart" uri="{C3380CC4-5D6E-409C-BE32-E72D297353CC}">
                <c16:uniqueId val="{00000001-BBE0-432D-AF90-DD31B79BC63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softEdge">
                <a:bevelT/>
              </a:sp3d>
            </c:spPr>
            <c:extLst>
              <c:ext xmlns:c16="http://schemas.microsoft.com/office/drawing/2014/chart" uri="{C3380CC4-5D6E-409C-BE32-E72D297353CC}">
                <c16:uniqueId val="{00000003-BBE0-432D-AF90-DD31B79BC63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prstMaterial="softEdge">
                <a:bevelT/>
              </a:sp3d>
            </c:spPr>
            <c:extLst>
              <c:ext xmlns:c16="http://schemas.microsoft.com/office/drawing/2014/chart" uri="{C3380CC4-5D6E-409C-BE32-E72D297353CC}">
                <c16:uniqueId val="{00000005-77CE-4C58-AFA7-9784D0E7B17A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Dinâmicas!$D$7:$D$10</c:f>
              <c:strCache>
                <c:ptCount val="3"/>
                <c:pt idx="0">
                  <c:v>Compra</c:v>
                </c:pt>
                <c:pt idx="1">
                  <c:v>Venda</c:v>
                </c:pt>
                <c:pt idx="2">
                  <c:v>(vazio)</c:v>
                </c:pt>
              </c:strCache>
            </c:strRef>
          </c:cat>
          <c:val>
            <c:numRef>
              <c:f>Dinâmicas!$E$7:$E$10</c:f>
              <c:numCache>
                <c:formatCode>0.00%</c:formatCode>
                <c:ptCount val="3"/>
                <c:pt idx="0">
                  <c:v>0.5</c:v>
                </c:pt>
                <c:pt idx="1">
                  <c:v>0.5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E0-432D-AF90-DD31B79BC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45"/>
        <c:holeSize val="7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[Gestao_do_TraderX_v3.xlsm]Dinâmicas!Tabela dinâmica20</c:name>
    <c:fmtId val="21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</c:marker>
        <c:dLbl>
          <c:idx val="0"/>
          <c:spPr/>
          <c:txPr>
            <a:bodyPr/>
            <a:lstStyle/>
            <a:p>
              <a:pPr>
                <a:defRPr sz="1100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</c:marker>
        <c:dLbl>
          <c:idx val="0"/>
          <c:spPr/>
          <c:txPr>
            <a:bodyPr/>
            <a:lstStyle/>
            <a:p>
              <a:pPr>
                <a:defRPr sz="1100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Dinâmicas!$AW$4</c:f>
              <c:strCache>
                <c:ptCount val="1"/>
                <c:pt idx="0">
                  <c:v>Total</c:v>
                </c:pt>
              </c:strCache>
            </c:strRef>
          </c:tx>
          <c:cat>
            <c:multiLvlStrRef>
              <c:f>Dinâmicas!$AV$5:$AV$7</c:f>
              <c:multiLvlStrCache>
                <c:ptCount val="1"/>
                <c:lvl>
                  <c:pt idx="0">
                    <c:v>9</c:v>
                  </c:pt>
                </c:lvl>
                <c:lvl>
                  <c:pt idx="0">
                    <c:v>2021</c:v>
                  </c:pt>
                </c:lvl>
              </c:multiLvlStrCache>
            </c:multiLvlStrRef>
          </c:cat>
          <c:val>
            <c:numRef>
              <c:f>Dinâmicas!$AW$5:$AW$7</c:f>
              <c:numCache>
                <c:formatCode>0.00%</c:formatCode>
                <c:ptCount val="1"/>
                <c:pt idx="0">
                  <c:v>-1.4529914529914532E-3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C7-4EB7-8E8B-637598F99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08512"/>
        <c:axId val="83014400"/>
      </c:lineChart>
      <c:catAx>
        <c:axId val="8300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83014400"/>
        <c:crosses val="autoZero"/>
        <c:auto val="1"/>
        <c:lblAlgn val="ctr"/>
        <c:lblOffset val="40"/>
        <c:noMultiLvlLbl val="0"/>
      </c:catAx>
      <c:valAx>
        <c:axId val="8301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83008512"/>
        <c:crosses val="autoZero"/>
        <c:crossBetween val="between"/>
      </c:valAx>
      <c:dTable>
        <c:showHorzBorder val="0"/>
        <c:showVertBorder val="1"/>
        <c:showOutline val="0"/>
        <c:showKeys val="0"/>
        <c:txPr>
          <a:bodyPr/>
          <a:lstStyle/>
          <a:p>
            <a:pPr rtl="0">
              <a:defRPr sz="11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36" footer="0.31496062000000036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[Gestao_do_TraderX_v3.xlsm]Dinâmicas!Tabela dinâmica19</c:name>
    <c:fmtId val="22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Dinâmicas!$AS$4</c:f>
              <c:strCache>
                <c:ptCount val="1"/>
                <c:pt idx="0">
                  <c:v>Resultado % do mês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Dinâmicas!$AR$5:$AR$8</c:f>
              <c:multiLvlStrCache>
                <c:ptCount val="2"/>
                <c:lvl>
                  <c:pt idx="0">
                    <c:v>8</c:v>
                  </c:pt>
                  <c:pt idx="1">
                    <c:v>9</c:v>
                  </c:pt>
                </c:lvl>
                <c:lvl>
                  <c:pt idx="0">
                    <c:v>2021</c:v>
                  </c:pt>
                </c:lvl>
              </c:multiLvlStrCache>
            </c:multiLvlStrRef>
          </c:cat>
          <c:val>
            <c:numRef>
              <c:f>Dinâmicas!$AS$5:$AS$8</c:f>
              <c:numCache>
                <c:formatCode>0.00%</c:formatCode>
                <c:ptCount val="2"/>
                <c:pt idx="0">
                  <c:v>5.8799999999999998E-2</c:v>
                </c:pt>
                <c:pt idx="1">
                  <c:v>-3.2418001525553013E-3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4-4B74-BB56-147A14C686D4}"/>
            </c:ext>
          </c:extLst>
        </c:ser>
        <c:ser>
          <c:idx val="1"/>
          <c:order val="1"/>
          <c:tx>
            <c:strRef>
              <c:f>Dinâmicas!$AT$4</c:f>
              <c:strCache>
                <c:ptCount val="1"/>
                <c:pt idx="0">
                  <c:v>Lucro no mês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Dinâmicas!$AR$5:$AR$8</c:f>
              <c:multiLvlStrCache>
                <c:ptCount val="2"/>
                <c:lvl>
                  <c:pt idx="0">
                    <c:v>8</c:v>
                  </c:pt>
                  <c:pt idx="1">
                    <c:v>9</c:v>
                  </c:pt>
                </c:lvl>
                <c:lvl>
                  <c:pt idx="0">
                    <c:v>2021</c:v>
                  </c:pt>
                </c:lvl>
              </c:multiLvlStrCache>
            </c:multiLvlStrRef>
          </c:cat>
          <c:val>
            <c:numRef>
              <c:f>Dinâmicas!$AT$5:$AT$8</c:f>
              <c:numCache>
                <c:formatCode>_-[$$-409]* #,##0.00_ ;_-[$$-409]* \-#,##0.00\ ;_-[$$-409]* "-"??_ ;_-@_ </c:formatCode>
                <c:ptCount val="2"/>
                <c:pt idx="0">
                  <c:v>294</c:v>
                </c:pt>
                <c:pt idx="1">
                  <c:v>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4-4B74-BB56-147A14C68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0907343"/>
        <c:axId val="942200351"/>
      </c:barChart>
      <c:valAx>
        <c:axId val="942200351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pt-BR"/>
          </a:p>
        </c:txPr>
        <c:crossAx val="1130907343"/>
        <c:crosses val="max"/>
        <c:crossBetween val="between"/>
      </c:valAx>
      <c:catAx>
        <c:axId val="11309073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42200351"/>
        <c:crosses val="autoZero"/>
        <c:auto val="1"/>
        <c:lblAlgn val="ctr"/>
        <c:lblOffset val="100"/>
        <c:noMultiLvlLbl val="0"/>
      </c:catAx>
      <c:dTable>
        <c:showHorzBorder val="0"/>
        <c:showVertBorder val="1"/>
        <c:showOutline val="0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[Gestao_do_TraderX_v3.xlsm]Dinâmicas!Tabela dinâmica6</c:name>
    <c:fmtId val="2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Dinâmicas!$AZ$4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Dinâmicas!$AY$5:$AY$8</c:f>
              <c:multiLvlStrCache>
                <c:ptCount val="2"/>
                <c:lvl>
                  <c:pt idx="0">
                    <c:v>8</c:v>
                  </c:pt>
                  <c:pt idx="1">
                    <c:v>9</c:v>
                  </c:pt>
                </c:lvl>
                <c:lvl>
                  <c:pt idx="0">
                    <c:v>2021</c:v>
                  </c:pt>
                </c:lvl>
              </c:multiLvlStrCache>
            </c:multiLvlStrRef>
          </c:cat>
          <c:val>
            <c:numRef>
              <c:f>Dinâmicas!$AZ$5:$AZ$8</c:f>
              <c:numCache>
                <c:formatCode>_-[$$-409]* #,##0.00_ ;_-[$$-409]* \-#,##0.00\ ;_-[$$-409]* "-"??_ ;_-@_ </c:formatCode>
                <c:ptCount val="2"/>
                <c:pt idx="0">
                  <c:v>5344</c:v>
                </c:pt>
                <c:pt idx="1">
                  <c:v>4627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D6-4D9E-AD5B-AACFA5661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244080"/>
        <c:axId val="1058373056"/>
      </c:lineChart>
      <c:catAx>
        <c:axId val="97424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pt-BR"/>
          </a:p>
        </c:txPr>
        <c:crossAx val="1058373056"/>
        <c:crosses val="autoZero"/>
        <c:auto val="1"/>
        <c:lblAlgn val="ctr"/>
        <c:lblOffset val="40"/>
        <c:noMultiLvlLbl val="0"/>
      </c:catAx>
      <c:valAx>
        <c:axId val="105837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pt-BR"/>
          </a:p>
        </c:txPr>
        <c:crossAx val="974244080"/>
        <c:crosses val="autoZero"/>
        <c:crossBetween val="between"/>
      </c:valAx>
      <c:dTable>
        <c:showHorzBorder val="0"/>
        <c:showVertBorder val="1"/>
        <c:showOutline val="0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image" Target="../media/image3.emf"/><Relationship Id="rId7" Type="http://schemas.openxmlformats.org/officeDocument/2006/relationships/hyperlink" Target="#'Dashboard - 2'!A1"/><Relationship Id="rId2" Type="http://schemas.openxmlformats.org/officeDocument/2006/relationships/image" Target="../media/image2.emf"/><Relationship Id="rId1" Type="http://schemas.openxmlformats.org/officeDocument/2006/relationships/image" Target="../media/image1.jpeg"/><Relationship Id="rId6" Type="http://schemas.openxmlformats.org/officeDocument/2006/relationships/image" Target="../media/image5.svg"/><Relationship Id="rId11" Type="http://schemas.openxmlformats.org/officeDocument/2006/relationships/chart" Target="../charts/chart4.xml"/><Relationship Id="rId5" Type="http://schemas.openxmlformats.org/officeDocument/2006/relationships/image" Target="../media/image4.png"/><Relationship Id="rId10" Type="http://schemas.openxmlformats.org/officeDocument/2006/relationships/chart" Target="../charts/chart3.xml"/><Relationship Id="rId4" Type="http://schemas.openxmlformats.org/officeDocument/2006/relationships/hyperlink" Target="#'Dashboard - 1'!A1"/><Relationship Id="rId9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image" Target="../media/image3.emf"/><Relationship Id="rId7" Type="http://schemas.openxmlformats.org/officeDocument/2006/relationships/hyperlink" Target="#'Dashboard - 2'!A1"/><Relationship Id="rId2" Type="http://schemas.openxmlformats.org/officeDocument/2006/relationships/image" Target="../media/image8.emf"/><Relationship Id="rId1" Type="http://schemas.openxmlformats.org/officeDocument/2006/relationships/image" Target="../media/image1.jpeg"/><Relationship Id="rId6" Type="http://schemas.openxmlformats.org/officeDocument/2006/relationships/image" Target="../media/image5.svg"/><Relationship Id="rId5" Type="http://schemas.openxmlformats.org/officeDocument/2006/relationships/image" Target="../media/image4.png"/><Relationship Id="rId10" Type="http://schemas.openxmlformats.org/officeDocument/2006/relationships/chart" Target="../charts/chart7.xml"/><Relationship Id="rId4" Type="http://schemas.openxmlformats.org/officeDocument/2006/relationships/hyperlink" Target="#'Dashboard - 1'!A1"/><Relationship Id="rId9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94</xdr:col>
      <xdr:colOff>94230</xdr:colOff>
      <xdr:row>60</xdr:row>
      <xdr:rowOff>18000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B3E36A3-4DA3-4C70-88CC-19CA21D4BFCF}"/>
            </a:ext>
          </a:extLst>
        </xdr:cNvPr>
        <xdr:cNvSpPr/>
      </xdr:nvSpPr>
      <xdr:spPr>
        <a:xfrm>
          <a:off x="0" y="0"/>
          <a:ext cx="22927214" cy="11448000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164725</xdr:rowOff>
    </xdr:from>
    <xdr:to>
      <xdr:col>94</xdr:col>
      <xdr:colOff>101850</xdr:colOff>
      <xdr:row>4</xdr:row>
      <xdr:rowOff>54437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7F42E530-B549-4C08-ABA2-3C7280D4A242}"/>
            </a:ext>
          </a:extLst>
        </xdr:cNvPr>
        <xdr:cNvSpPr/>
      </xdr:nvSpPr>
      <xdr:spPr>
        <a:xfrm>
          <a:off x="0" y="164725"/>
          <a:ext cx="23400000" cy="6517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2932</xdr:colOff>
      <xdr:row>0</xdr:row>
      <xdr:rowOff>185270</xdr:rowOff>
    </xdr:from>
    <xdr:ext cx="23400000" cy="600075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ACDB93DA-8811-4A59-A85E-5D9832EE1E7C}"/>
            </a:ext>
          </a:extLst>
        </xdr:cNvPr>
        <xdr:cNvSpPr txBox="1"/>
      </xdr:nvSpPr>
      <xdr:spPr>
        <a:xfrm>
          <a:off x="2932" y="185270"/>
          <a:ext cx="23400000" cy="6000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4000" b="1">
              <a:latin typeface="Verdana" pitchFamily="34" charset="0"/>
              <a:ea typeface="Verdana" pitchFamily="34" charset="0"/>
              <a:cs typeface="Verdana" pitchFamily="34" charset="0"/>
            </a:rPr>
            <a:t>Relatório de Performance</a:t>
          </a:r>
        </a:p>
      </xdr:txBody>
    </xdr:sp>
    <xdr:clientData/>
  </xdr:oneCellAnchor>
  <xdr:twoCellAnchor editAs="oneCell">
    <xdr:from>
      <xdr:col>83</xdr:col>
      <xdr:colOff>211286</xdr:colOff>
      <xdr:row>0</xdr:row>
      <xdr:rowOff>183365</xdr:rowOff>
    </xdr:from>
    <xdr:to>
      <xdr:col>94</xdr:col>
      <xdr:colOff>74471</xdr:colOff>
      <xdr:row>3</xdr:row>
      <xdr:rowOff>169014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60D7FCAC-F9EB-4EA9-9B27-8E632D9BB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5286" y="183365"/>
          <a:ext cx="2587335" cy="55714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6552</xdr:rowOff>
    </xdr:from>
    <xdr:to>
      <xdr:col>94</xdr:col>
      <xdr:colOff>101850</xdr:colOff>
      <xdr:row>4</xdr:row>
      <xdr:rowOff>137521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C22CCEC-1FA4-43AC-A4B9-1D12D9BA4D8B}"/>
            </a:ext>
          </a:extLst>
        </xdr:cNvPr>
        <xdr:cNvSpPr/>
      </xdr:nvSpPr>
      <xdr:spPr>
        <a:xfrm>
          <a:off x="0" y="768552"/>
          <a:ext cx="23400000" cy="130969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51128</xdr:rowOff>
    </xdr:from>
    <xdr:to>
      <xdr:col>94</xdr:col>
      <xdr:colOff>101850</xdr:colOff>
      <xdr:row>0</xdr:row>
      <xdr:rowOff>182097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B26654BF-C653-41D7-820B-E3330CD92551}"/>
            </a:ext>
          </a:extLst>
        </xdr:cNvPr>
        <xdr:cNvSpPr/>
      </xdr:nvSpPr>
      <xdr:spPr>
        <a:xfrm>
          <a:off x="0" y="51128"/>
          <a:ext cx="23400000" cy="130969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14700</xdr:colOff>
      <xdr:row>1</xdr:row>
      <xdr:rowOff>3368</xdr:rowOff>
    </xdr:from>
    <xdr:to>
      <xdr:col>10</xdr:col>
      <xdr:colOff>134620</xdr:colOff>
      <xdr:row>3</xdr:row>
      <xdr:rowOff>173802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F39AC68B-8FCB-40A3-A30C-C6FAC3957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00" y="193868"/>
          <a:ext cx="2607850" cy="55714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36</xdr:row>
      <xdr:rowOff>89953</xdr:rowOff>
    </xdr:from>
    <xdr:to>
      <xdr:col>94</xdr:col>
      <xdr:colOff>103036</xdr:colOff>
      <xdr:row>36</xdr:row>
      <xdr:rowOff>157698</xdr:rowOff>
    </xdr:to>
    <xdr:sp macro="" textlink="">
      <xdr:nvSpPr>
        <xdr:cNvPr id="9" name="Retângulo 23">
          <a:extLst>
            <a:ext uri="{FF2B5EF4-FFF2-40B4-BE49-F238E27FC236}">
              <a16:creationId xmlns:a16="http://schemas.microsoft.com/office/drawing/2014/main" id="{5AA94940-08FF-44BC-A079-595C1352C20A}"/>
            </a:ext>
          </a:extLst>
        </xdr:cNvPr>
        <xdr:cNvSpPr/>
      </xdr:nvSpPr>
      <xdr:spPr>
        <a:xfrm>
          <a:off x="0" y="6947953"/>
          <a:ext cx="23401186" cy="6774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13</xdr:row>
      <xdr:rowOff>62243</xdr:rowOff>
    </xdr:from>
    <xdr:to>
      <xdr:col>94</xdr:col>
      <xdr:colOff>103036</xdr:colOff>
      <xdr:row>13</xdr:row>
      <xdr:rowOff>129988</xdr:rowOff>
    </xdr:to>
    <xdr:sp macro="" textlink="">
      <xdr:nvSpPr>
        <xdr:cNvPr id="10" name="Retângulo 23">
          <a:extLst>
            <a:ext uri="{FF2B5EF4-FFF2-40B4-BE49-F238E27FC236}">
              <a16:creationId xmlns:a16="http://schemas.microsoft.com/office/drawing/2014/main" id="{F276F31A-1433-45EC-A15B-63806EB451A1}"/>
            </a:ext>
          </a:extLst>
        </xdr:cNvPr>
        <xdr:cNvSpPr/>
      </xdr:nvSpPr>
      <xdr:spPr>
        <a:xfrm>
          <a:off x="0" y="2538743"/>
          <a:ext cx="23401186" cy="6774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5</xdr:row>
      <xdr:rowOff>452</xdr:rowOff>
    </xdr:from>
    <xdr:to>
      <xdr:col>7</xdr:col>
      <xdr:colOff>29456</xdr:colOff>
      <xdr:row>12</xdr:row>
      <xdr:rowOff>108429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334C20EF-ACEF-47BF-9295-85358C600782}"/>
            </a:ext>
          </a:extLst>
        </xdr:cNvPr>
        <xdr:cNvGrpSpPr/>
      </xdr:nvGrpSpPr>
      <xdr:grpSpPr>
        <a:xfrm>
          <a:off x="0" y="900997"/>
          <a:ext cx="1802838" cy="1368741"/>
          <a:chOff x="0" y="952952"/>
          <a:chExt cx="1761274" cy="1441477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2" name="Ano 4">
                <a:extLst>
                  <a:ext uri="{FF2B5EF4-FFF2-40B4-BE49-F238E27FC236}">
                    <a16:creationId xmlns:a16="http://schemas.microsoft.com/office/drawing/2014/main" id="{5A274077-3C48-4ECE-8C46-36107C12600F}"/>
                  </a:ext>
                </a:extLst>
              </xdr:cNvPr>
              <xdr:cNvGraphicFramePr/>
            </xdr:nvGraphicFramePr>
            <xdr:xfrm>
              <a:off x="115456" y="1063264"/>
              <a:ext cx="1645818" cy="1331165"/>
            </xdr:xfrm>
            <a:graphic>
              <a:graphicData uri="http://schemas.microsoft.com/office/drawing/2010/slicer">
                <sle:slicer xmlns:sle="http://schemas.microsoft.com/office/drawing/2010/slicer" name="Ano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5456" y="1063264"/>
                <a:ext cx="1645818" cy="133116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13" name="CaixaDeTexto 18">
            <a:extLst>
              <a:ext uri="{FF2B5EF4-FFF2-40B4-BE49-F238E27FC236}">
                <a16:creationId xmlns:a16="http://schemas.microsoft.com/office/drawing/2014/main" id="{C9B90296-E16C-48EB-96D6-B5CBD7FB8740}"/>
              </a:ext>
            </a:extLst>
          </xdr:cNvPr>
          <xdr:cNvSpPr txBox="1"/>
        </xdr:nvSpPr>
        <xdr:spPr>
          <a:xfrm>
            <a:off x="0" y="952952"/>
            <a:ext cx="984250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Ano: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8</xdr:col>
      <xdr:colOff>41600</xdr:colOff>
      <xdr:row>5</xdr:row>
      <xdr:rowOff>452</xdr:rowOff>
    </xdr:from>
    <xdr:to>
      <xdr:col>17</xdr:col>
      <xdr:colOff>42184</xdr:colOff>
      <xdr:row>12</xdr:row>
      <xdr:rowOff>109264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E6A85825-5886-452C-8A97-7E0C688E89C4}"/>
            </a:ext>
          </a:extLst>
        </xdr:cNvPr>
        <xdr:cNvGrpSpPr/>
      </xdr:nvGrpSpPr>
      <xdr:grpSpPr>
        <a:xfrm>
          <a:off x="2064364" y="900997"/>
          <a:ext cx="2245020" cy="1369576"/>
          <a:chOff x="1908111" y="952952"/>
          <a:chExt cx="2182675" cy="144231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5" name="Mês 4">
                <a:extLst>
                  <a:ext uri="{FF2B5EF4-FFF2-40B4-BE49-F238E27FC236}">
                    <a16:creationId xmlns:a16="http://schemas.microsoft.com/office/drawing/2014/main" id="{148935D3-2A0A-4227-835B-AB4AE72710DD}"/>
                  </a:ext>
                </a:extLst>
              </xdr:cNvPr>
              <xdr:cNvGraphicFramePr/>
            </xdr:nvGraphicFramePr>
            <xdr:xfrm>
              <a:off x="2023150" y="1063264"/>
              <a:ext cx="2067636" cy="1332000"/>
            </xdr:xfrm>
            <a:graphic>
              <a:graphicData uri="http://schemas.microsoft.com/office/drawing/2010/slicer">
                <sle:slicer xmlns:sle="http://schemas.microsoft.com/office/drawing/2010/slicer" name="Mês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130912" y="1063264"/>
                <a:ext cx="2067636" cy="1332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16" name="CaixaDeTexto 18">
            <a:extLst>
              <a:ext uri="{FF2B5EF4-FFF2-40B4-BE49-F238E27FC236}">
                <a16:creationId xmlns:a16="http://schemas.microsoft.com/office/drawing/2014/main" id="{E9C74F32-0C10-45E9-B867-95CAAF0ADC03}"/>
              </a:ext>
            </a:extLst>
          </xdr:cNvPr>
          <xdr:cNvSpPr txBox="1"/>
        </xdr:nvSpPr>
        <xdr:spPr>
          <a:xfrm>
            <a:off x="1908111" y="952952"/>
            <a:ext cx="984250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Mês: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18</xdr:col>
      <xdr:colOff>54329</xdr:colOff>
      <xdr:row>5</xdr:row>
      <xdr:rowOff>452</xdr:rowOff>
    </xdr:from>
    <xdr:to>
      <xdr:col>33</xdr:col>
      <xdr:colOff>117261</xdr:colOff>
      <xdr:row>12</xdr:row>
      <xdr:rowOff>110763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8297DE4-916E-4FFF-8439-E2D1819837B5}"/>
            </a:ext>
          </a:extLst>
        </xdr:cNvPr>
        <xdr:cNvGrpSpPr/>
      </xdr:nvGrpSpPr>
      <xdr:grpSpPr>
        <a:xfrm>
          <a:off x="4570911" y="900997"/>
          <a:ext cx="3803659" cy="1371075"/>
          <a:chOff x="4336799" y="952952"/>
          <a:chExt cx="3699750" cy="1443811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8" name="Semana 4">
                <a:extLst>
                  <a:ext uri="{FF2B5EF4-FFF2-40B4-BE49-F238E27FC236}">
                    <a16:creationId xmlns:a16="http://schemas.microsoft.com/office/drawing/2014/main" id="{5018B00A-8E49-4112-B55B-D1794627F44B}"/>
                  </a:ext>
                </a:extLst>
              </xdr:cNvPr>
              <xdr:cNvGraphicFramePr/>
            </xdr:nvGraphicFramePr>
            <xdr:xfrm>
              <a:off x="4352662" y="1063264"/>
              <a:ext cx="3683887" cy="1333499"/>
            </xdr:xfrm>
            <a:graphic>
              <a:graphicData uri="http://schemas.microsoft.com/office/drawing/2010/slicer">
                <sle:slicer xmlns:sle="http://schemas.microsoft.com/office/drawing/2010/slicer" name="Semana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469010" y="1063264"/>
                <a:ext cx="3683887" cy="1333499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1EAE9A74-D21E-4664-8D4A-A81BF00C1238}"/>
              </a:ext>
            </a:extLst>
          </xdr:cNvPr>
          <xdr:cNvSpPr txBox="1"/>
        </xdr:nvSpPr>
        <xdr:spPr>
          <a:xfrm>
            <a:off x="4336799" y="952952"/>
            <a:ext cx="2076449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Semana do ano: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34</xdr:col>
      <xdr:colOff>129405</xdr:colOff>
      <xdr:row>5</xdr:row>
      <xdr:rowOff>452</xdr:rowOff>
    </xdr:from>
    <xdr:to>
      <xdr:col>53</xdr:col>
      <xdr:colOff>91311</xdr:colOff>
      <xdr:row>12</xdr:row>
      <xdr:rowOff>109264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20254A09-0E5A-4D72-B529-99843D2BB69B}"/>
            </a:ext>
          </a:extLst>
        </xdr:cNvPr>
        <xdr:cNvGrpSpPr/>
      </xdr:nvGrpSpPr>
      <xdr:grpSpPr>
        <a:xfrm>
          <a:off x="8636096" y="900997"/>
          <a:ext cx="4700160" cy="1369576"/>
          <a:chOff x="8283482" y="952952"/>
          <a:chExt cx="4568542" cy="144231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1" name="Ativo 5">
                <a:extLst>
                  <a:ext uri="{FF2B5EF4-FFF2-40B4-BE49-F238E27FC236}">
                    <a16:creationId xmlns:a16="http://schemas.microsoft.com/office/drawing/2014/main" id="{6750EAC3-8D1D-402C-A5D7-CD81FD987866}"/>
                  </a:ext>
                </a:extLst>
              </xdr:cNvPr>
              <xdr:cNvGraphicFramePr/>
            </xdr:nvGraphicFramePr>
            <xdr:xfrm>
              <a:off x="8298425" y="1063264"/>
              <a:ext cx="4553599" cy="1332000"/>
            </xdr:xfrm>
            <a:graphic>
              <a:graphicData uri="http://schemas.microsoft.com/office/drawing/2010/slicer">
                <sle:slicer xmlns:sle="http://schemas.microsoft.com/office/drawing/2010/slicer" name="Ativo 5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8422439" y="1063264"/>
                <a:ext cx="4553599" cy="1332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2" name="CaixaDeTexto 18">
            <a:extLst>
              <a:ext uri="{FF2B5EF4-FFF2-40B4-BE49-F238E27FC236}">
                <a16:creationId xmlns:a16="http://schemas.microsoft.com/office/drawing/2014/main" id="{A0FD7AA3-8480-4BD5-898B-FF9C3C4A21B3}"/>
              </a:ext>
            </a:extLst>
          </xdr:cNvPr>
          <xdr:cNvSpPr txBox="1"/>
        </xdr:nvSpPr>
        <xdr:spPr>
          <a:xfrm>
            <a:off x="8283482" y="952952"/>
            <a:ext cx="902676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Ativo: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54</xdr:col>
      <xdr:colOff>103455</xdr:colOff>
      <xdr:row>3</xdr:row>
      <xdr:rowOff>171902</xdr:rowOff>
    </xdr:from>
    <xdr:to>
      <xdr:col>62</xdr:col>
      <xdr:colOff>31183</xdr:colOff>
      <xdr:row>12</xdr:row>
      <xdr:rowOff>109264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D6458938-B319-45C3-A097-893EB2F4BBAF}"/>
            </a:ext>
          </a:extLst>
        </xdr:cNvPr>
        <xdr:cNvGrpSpPr/>
      </xdr:nvGrpSpPr>
      <xdr:grpSpPr>
        <a:xfrm>
          <a:off x="13597782" y="712229"/>
          <a:ext cx="1922783" cy="1558344"/>
          <a:chOff x="12953815" y="743402"/>
          <a:chExt cx="1867364" cy="165186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4" name="Tipo de Ordem 4">
                <a:extLst>
                  <a:ext uri="{FF2B5EF4-FFF2-40B4-BE49-F238E27FC236}">
                    <a16:creationId xmlns:a16="http://schemas.microsoft.com/office/drawing/2014/main" id="{E6380325-BC45-4CB4-A9BB-45DA50E88B13}"/>
                  </a:ext>
                </a:extLst>
              </xdr:cNvPr>
              <xdr:cNvGraphicFramePr/>
            </xdr:nvGraphicFramePr>
            <xdr:xfrm>
              <a:off x="13113899" y="1063264"/>
              <a:ext cx="1707280" cy="1332000"/>
            </xdr:xfrm>
            <a:graphic>
              <a:graphicData uri="http://schemas.microsoft.com/office/drawing/2010/slicer">
                <sle:slicer xmlns:sle="http://schemas.microsoft.com/office/drawing/2010/slicer" name="Tipo de Ordem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3390721" y="1063264"/>
                <a:ext cx="1707280" cy="1332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5" name="CaixaDeTexto 18">
            <a:extLst>
              <a:ext uri="{FF2B5EF4-FFF2-40B4-BE49-F238E27FC236}">
                <a16:creationId xmlns:a16="http://schemas.microsoft.com/office/drawing/2014/main" id="{55B69487-49B4-4D9B-B647-2151ED67AE25}"/>
              </a:ext>
            </a:extLst>
          </xdr:cNvPr>
          <xdr:cNvSpPr txBox="1"/>
        </xdr:nvSpPr>
        <xdr:spPr>
          <a:xfrm>
            <a:off x="12953815" y="743402"/>
            <a:ext cx="1173308" cy="7615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2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Tipo de ordem:</a:t>
            </a:r>
            <a:endParaRPr lang="pt-BR" sz="24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63</xdr:col>
      <xdr:colOff>43325</xdr:colOff>
      <xdr:row>5</xdr:row>
      <xdr:rowOff>452</xdr:rowOff>
    </xdr:from>
    <xdr:to>
      <xdr:col>78</xdr:col>
      <xdr:colOff>49066</xdr:colOff>
      <xdr:row>12</xdr:row>
      <xdr:rowOff>109264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B8DCE112-31FC-4616-9942-0634D9D81D0F}"/>
            </a:ext>
          </a:extLst>
        </xdr:cNvPr>
        <xdr:cNvGrpSpPr/>
      </xdr:nvGrpSpPr>
      <xdr:grpSpPr>
        <a:xfrm>
          <a:off x="15782089" y="900997"/>
          <a:ext cx="3746468" cy="1369576"/>
          <a:chOff x="14971601" y="952952"/>
          <a:chExt cx="3642559" cy="144231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7" name="Estratégia 5">
                <a:extLst>
                  <a:ext uri="{FF2B5EF4-FFF2-40B4-BE49-F238E27FC236}">
                    <a16:creationId xmlns:a16="http://schemas.microsoft.com/office/drawing/2014/main" id="{706A379B-F5BA-405D-8DFF-484B41BACC37}"/>
                  </a:ext>
                </a:extLst>
              </xdr:cNvPr>
              <xdr:cNvGraphicFramePr/>
            </xdr:nvGraphicFramePr>
            <xdr:xfrm>
              <a:off x="15071510" y="1063264"/>
              <a:ext cx="3542650" cy="1332000"/>
            </xdr:xfrm>
            <a:graphic>
              <a:graphicData uri="http://schemas.microsoft.com/office/drawing/2010/slicer">
                <sle:slicer xmlns:sle="http://schemas.microsoft.com/office/drawing/2010/slicer" name="Estratégia 5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5452507" y="1063264"/>
                <a:ext cx="3542650" cy="1332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8" name="CaixaDeTexto 18">
            <a:extLst>
              <a:ext uri="{FF2B5EF4-FFF2-40B4-BE49-F238E27FC236}">
                <a16:creationId xmlns:a16="http://schemas.microsoft.com/office/drawing/2014/main" id="{B8F40140-FEE5-4DA2-86D3-65A44D15322B}"/>
              </a:ext>
            </a:extLst>
          </xdr:cNvPr>
          <xdr:cNvSpPr txBox="1"/>
        </xdr:nvSpPr>
        <xdr:spPr>
          <a:xfrm>
            <a:off x="14971601" y="952952"/>
            <a:ext cx="1658367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Estratégia: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86</xdr:col>
          <xdr:colOff>154420</xdr:colOff>
          <xdr:row>5</xdr:row>
          <xdr:rowOff>185476</xdr:rowOff>
        </xdr:from>
        <xdr:to>
          <xdr:col>92</xdr:col>
          <xdr:colOff>97977</xdr:colOff>
          <xdr:row>7</xdr:row>
          <xdr:rowOff>56476</xdr:rowOff>
        </xdr:to>
        <xdr:pic>
          <xdr:nvPicPr>
            <xdr:cNvPr id="29" name="Imagem 28">
              <a:extLst>
                <a:ext uri="{FF2B5EF4-FFF2-40B4-BE49-F238E27FC236}">
                  <a16:creationId xmlns:a16="http://schemas.microsoft.com/office/drawing/2014/main" id="{018C5D25-783C-4213-9453-3649C5E07F4C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Dinâmicas!$AB$2" spid="_x0000_s2184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1040147" y="1137976"/>
              <a:ext cx="1404000" cy="25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oneCellAnchor>
    <xdr:from>
      <xdr:col>80</xdr:col>
      <xdr:colOff>87653</xdr:colOff>
      <xdr:row>4</xdr:row>
      <xdr:rowOff>146702</xdr:rowOff>
    </xdr:from>
    <xdr:ext cx="1473183" cy="710548"/>
    <xdr:sp macro="" textlink="">
      <xdr:nvSpPr>
        <xdr:cNvPr id="30" name="CaixaDeTexto 18">
          <a:extLst>
            <a:ext uri="{FF2B5EF4-FFF2-40B4-BE49-F238E27FC236}">
              <a16:creationId xmlns:a16="http://schemas.microsoft.com/office/drawing/2014/main" id="{C1CA9704-0807-41A2-A6F0-FC23CEA09C00}"/>
            </a:ext>
          </a:extLst>
        </xdr:cNvPr>
        <xdr:cNvSpPr txBox="1"/>
      </xdr:nvSpPr>
      <xdr:spPr>
        <a:xfrm>
          <a:off x="19918703" y="908702"/>
          <a:ext cx="1473183" cy="7105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6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rPr>
            <a:t>Resultado Financeiro:</a:t>
          </a:r>
          <a:endParaRPr lang="pt-BR" sz="3200" b="1">
            <a:solidFill>
              <a:schemeClr val="bg1"/>
            </a:solidFill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86</xdr:col>
          <xdr:colOff>154420</xdr:colOff>
          <xdr:row>10</xdr:row>
          <xdr:rowOff>0</xdr:rowOff>
        </xdr:from>
        <xdr:to>
          <xdr:col>92</xdr:col>
          <xdr:colOff>97977</xdr:colOff>
          <xdr:row>11</xdr:row>
          <xdr:rowOff>53880</xdr:rowOff>
        </xdr:to>
        <xdr:pic>
          <xdr:nvPicPr>
            <xdr:cNvPr id="31" name="Imagem 30">
              <a:extLst>
                <a:ext uri="{FF2B5EF4-FFF2-40B4-BE49-F238E27FC236}">
                  <a16:creationId xmlns:a16="http://schemas.microsoft.com/office/drawing/2014/main" id="{84F1BD96-9D7A-43E6-B928-30A4A906EB90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Dinâmicas!$AB$3" spid="_x0000_s21844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1040147" y="1905000"/>
              <a:ext cx="1404000" cy="25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oneCellAnchor>
    <xdr:from>
      <xdr:col>79</xdr:col>
      <xdr:colOff>190500</xdr:colOff>
      <xdr:row>10</xdr:row>
      <xdr:rowOff>0</xdr:rowOff>
    </xdr:from>
    <xdr:ext cx="1752399" cy="252000"/>
    <xdr:sp macro="" textlink="">
      <xdr:nvSpPr>
        <xdr:cNvPr id="32" name="CaixaDeTexto 18">
          <a:extLst>
            <a:ext uri="{FF2B5EF4-FFF2-40B4-BE49-F238E27FC236}">
              <a16:creationId xmlns:a16="http://schemas.microsoft.com/office/drawing/2014/main" id="{4EC1BBF9-CA3F-43A2-AE5C-C3A0E80210C8}"/>
            </a:ext>
          </a:extLst>
        </xdr:cNvPr>
        <xdr:cNvSpPr txBox="1"/>
      </xdr:nvSpPr>
      <xdr:spPr>
        <a:xfrm>
          <a:off x="19773900" y="1905000"/>
          <a:ext cx="1752399" cy="252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6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rPr>
            <a:t>Saldo Final:</a:t>
          </a:r>
          <a:endParaRPr lang="pt-BR" sz="3200" b="1">
            <a:solidFill>
              <a:schemeClr val="bg1"/>
            </a:solidFill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oneCellAnchor>
  <xdr:twoCellAnchor>
    <xdr:from>
      <xdr:col>13</xdr:col>
      <xdr:colOff>127000</xdr:colOff>
      <xdr:row>1</xdr:row>
      <xdr:rowOff>0</xdr:rowOff>
    </xdr:from>
    <xdr:to>
      <xdr:col>19</xdr:col>
      <xdr:colOff>142876</xdr:colOff>
      <xdr:row>4</xdr:row>
      <xdr:rowOff>47625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5A76EFE-27C6-4EBB-BE3F-5B2D038A24C4}"/>
            </a:ext>
          </a:extLst>
        </xdr:cNvPr>
        <xdr:cNvGrpSpPr/>
      </xdr:nvGrpSpPr>
      <xdr:grpSpPr>
        <a:xfrm>
          <a:off x="3396673" y="180109"/>
          <a:ext cx="1512167" cy="587952"/>
          <a:chOff x="3429000" y="190500"/>
          <a:chExt cx="1539876" cy="619125"/>
        </a:xfrm>
      </xdr:grpSpPr>
      <xdr:pic>
        <xdr:nvPicPr>
          <xdr:cNvPr id="34" name="Gráfico 33" descr="Gráfico de barras">
            <a:extLst>
              <a:ext uri="{FF2B5EF4-FFF2-40B4-BE49-F238E27FC236}">
                <a16:creationId xmlns:a16="http://schemas.microsoft.com/office/drawing/2014/main" id="{6A62874B-B10F-4AA0-AF83-4A1C1B537B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429000" y="190500"/>
            <a:ext cx="619125" cy="619125"/>
          </a:xfrm>
          <a:prstGeom prst="rect">
            <a:avLst/>
          </a:prstGeom>
        </xdr:spPr>
      </xdr:pic>
      <xdr:sp macro="" textlink="">
        <xdr:nvSpPr>
          <xdr:cNvPr id="35" name="CaixaDeTexto 18">
            <a:extLst>
              <a:ext uri="{FF2B5EF4-FFF2-40B4-BE49-F238E27FC236}">
                <a16:creationId xmlns:a16="http://schemas.microsoft.com/office/drawing/2014/main" id="{D809723A-F782-482E-86F4-20F4FE3498E5}"/>
              </a:ext>
            </a:extLst>
          </xdr:cNvPr>
          <xdr:cNvSpPr txBox="1"/>
        </xdr:nvSpPr>
        <xdr:spPr>
          <a:xfrm>
            <a:off x="3873500" y="284062"/>
            <a:ext cx="1095376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400" b="1">
                <a:solidFill>
                  <a:sysClr val="windowText" lastClr="000000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Gráf. 1</a:t>
            </a:r>
            <a:endParaRPr lang="pt-BR" sz="4400" b="1">
              <a:solidFill>
                <a:sysClr val="windowText" lastClr="000000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/>
  </xdr:twoCellAnchor>
  <xdr:twoCellAnchor>
    <xdr:from>
      <xdr:col>20</xdr:col>
      <xdr:colOff>63500</xdr:colOff>
      <xdr:row>1</xdr:row>
      <xdr:rowOff>0</xdr:rowOff>
    </xdr:from>
    <xdr:to>
      <xdr:col>26</xdr:col>
      <xdr:colOff>79376</xdr:colOff>
      <xdr:row>4</xdr:row>
      <xdr:rowOff>47625</xdr:rowOff>
    </xdr:to>
    <xdr:grpSp>
      <xdr:nvGrpSpPr>
        <xdr:cNvPr id="36" name="Agrupar 3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E74BC17-D864-4E06-AE56-88890E3BE73A}"/>
            </a:ext>
          </a:extLst>
        </xdr:cNvPr>
        <xdr:cNvGrpSpPr/>
      </xdr:nvGrpSpPr>
      <xdr:grpSpPr>
        <a:xfrm>
          <a:off x="5078845" y="180109"/>
          <a:ext cx="1512167" cy="587952"/>
          <a:chOff x="5143500" y="183202"/>
          <a:chExt cx="1539876" cy="619125"/>
        </a:xfrm>
      </xdr:grpSpPr>
      <xdr:pic>
        <xdr:nvPicPr>
          <xdr:cNvPr id="37" name="Gráfico 36" descr="Gráfico de barras">
            <a:extLst>
              <a:ext uri="{FF2B5EF4-FFF2-40B4-BE49-F238E27FC236}">
                <a16:creationId xmlns:a16="http://schemas.microsoft.com/office/drawing/2014/main" id="{A4AC7019-B027-4B96-B74D-18D8EA22E4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143500" y="183202"/>
            <a:ext cx="619125" cy="619125"/>
          </a:xfrm>
          <a:prstGeom prst="rect">
            <a:avLst/>
          </a:prstGeom>
        </xdr:spPr>
      </xdr:pic>
      <xdr:sp macro="" textlink="">
        <xdr:nvSpPr>
          <xdr:cNvPr id="38" name="CaixaDeTexto 18">
            <a:extLst>
              <a:ext uri="{FF2B5EF4-FFF2-40B4-BE49-F238E27FC236}">
                <a16:creationId xmlns:a16="http://schemas.microsoft.com/office/drawing/2014/main" id="{6C231B58-B00C-40C2-97C7-72C5580435E9}"/>
              </a:ext>
            </a:extLst>
          </xdr:cNvPr>
          <xdr:cNvSpPr txBox="1"/>
        </xdr:nvSpPr>
        <xdr:spPr>
          <a:xfrm>
            <a:off x="5588000" y="276764"/>
            <a:ext cx="1095376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400" b="1">
                <a:solidFill>
                  <a:sysClr val="windowText" lastClr="000000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Gráf. 2</a:t>
            </a:r>
            <a:endParaRPr lang="pt-BR" sz="4400" b="1">
              <a:solidFill>
                <a:sysClr val="windowText" lastClr="000000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/>
  </xdr:twoCellAnchor>
  <xdr:twoCellAnchor>
    <xdr:from>
      <xdr:col>3</xdr:col>
      <xdr:colOff>17317</xdr:colOff>
      <xdr:row>14</xdr:row>
      <xdr:rowOff>86577</xdr:rowOff>
    </xdr:from>
    <xdr:to>
      <xdr:col>25</xdr:col>
      <xdr:colOff>206635</xdr:colOff>
      <xdr:row>35</xdr:row>
      <xdr:rowOff>167732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D4760E2B-BA99-41FF-8C13-51B0D963B7D6}"/>
            </a:ext>
          </a:extLst>
        </xdr:cNvPr>
        <xdr:cNvGrpSpPr/>
      </xdr:nvGrpSpPr>
      <xdr:grpSpPr>
        <a:xfrm>
          <a:off x="793172" y="2608104"/>
          <a:ext cx="5675718" cy="3863446"/>
          <a:chOff x="779317" y="2753577"/>
          <a:chExt cx="5523318" cy="4081655"/>
        </a:xfrm>
      </xdr:grpSpPr>
      <xdr:graphicFrame macro="">
        <xdr:nvGraphicFramePr>
          <xdr:cNvPr id="45" name="Gráfico 44">
            <a:extLst>
              <a:ext uri="{FF2B5EF4-FFF2-40B4-BE49-F238E27FC236}">
                <a16:creationId xmlns:a16="http://schemas.microsoft.com/office/drawing/2014/main" id="{9A751A29-3112-4218-A9A3-CA35A275A949}"/>
              </a:ext>
            </a:extLst>
          </xdr:cNvPr>
          <xdr:cNvGraphicFramePr>
            <a:graphicFrameLocks/>
          </xdr:cNvGraphicFramePr>
        </xdr:nvGraphicFramePr>
        <xdr:xfrm>
          <a:off x="779317" y="3235232"/>
          <a:ext cx="5523318" cy="36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8" name="CaixaDeTexto 18">
            <a:extLst>
              <a:ext uri="{FF2B5EF4-FFF2-40B4-BE49-F238E27FC236}">
                <a16:creationId xmlns:a16="http://schemas.microsoft.com/office/drawing/2014/main" id="{9F322CA4-823E-4A65-8D7C-CBA32728274F}"/>
              </a:ext>
            </a:extLst>
          </xdr:cNvPr>
          <xdr:cNvSpPr txBox="1"/>
        </xdr:nvSpPr>
        <xdr:spPr>
          <a:xfrm>
            <a:off x="2288836" y="2753577"/>
            <a:ext cx="2504281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Acuracidade</a:t>
            </a:r>
            <a:endParaRPr lang="pt-BR" sz="44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/>
  </xdr:twoCellAnchor>
  <xdr:twoCellAnchor editAs="absolute">
    <xdr:from>
      <xdr:col>54</xdr:col>
      <xdr:colOff>155237</xdr:colOff>
      <xdr:row>14</xdr:row>
      <xdr:rowOff>92292</xdr:rowOff>
    </xdr:from>
    <xdr:to>
      <xdr:col>90</xdr:col>
      <xdr:colOff>229455</xdr:colOff>
      <xdr:row>35</xdr:row>
      <xdr:rowOff>167732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62D4E01B-1678-436C-A898-84D00D656EEF}"/>
            </a:ext>
          </a:extLst>
        </xdr:cNvPr>
        <xdr:cNvGrpSpPr>
          <a:grpSpLocks/>
        </xdr:cNvGrpSpPr>
      </xdr:nvGrpSpPr>
      <xdr:grpSpPr>
        <a:xfrm>
          <a:off x="13649564" y="2613819"/>
          <a:ext cx="9051964" cy="3857731"/>
          <a:chOff x="13282419" y="2753577"/>
          <a:chExt cx="8802581" cy="4081655"/>
        </a:xfrm>
      </xdr:grpSpPr>
      <xdr:graphicFrame macro="">
        <xdr:nvGraphicFramePr>
          <xdr:cNvPr id="46" name="Gráfico 45">
            <a:extLst>
              <a:ext uri="{FF2B5EF4-FFF2-40B4-BE49-F238E27FC236}">
                <a16:creationId xmlns:a16="http://schemas.microsoft.com/office/drawing/2014/main" id="{522C3969-58E0-44BA-B080-2554B6A47C14}"/>
              </a:ext>
            </a:extLst>
          </xdr:cNvPr>
          <xdr:cNvGraphicFramePr>
            <a:graphicFrameLocks/>
          </xdr:cNvGraphicFramePr>
        </xdr:nvGraphicFramePr>
        <xdr:xfrm>
          <a:off x="13282419" y="3235232"/>
          <a:ext cx="8802581" cy="36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50" name="CaixaDeTexto 18">
            <a:extLst>
              <a:ext uri="{FF2B5EF4-FFF2-40B4-BE49-F238E27FC236}">
                <a16:creationId xmlns:a16="http://schemas.microsoft.com/office/drawing/2014/main" id="{B5CDBF75-83A9-4740-A360-21D34E103AA3}"/>
              </a:ext>
            </a:extLst>
          </xdr:cNvPr>
          <xdr:cNvSpPr txBox="1"/>
        </xdr:nvSpPr>
        <xdr:spPr>
          <a:xfrm>
            <a:off x="15775709" y="2753577"/>
            <a:ext cx="3816000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Drawdown Máximo</a:t>
            </a:r>
          </a:p>
        </xdr:txBody>
      </xdr:sp>
    </xdr:grpSp>
    <xdr:clientData/>
  </xdr:twoCellAnchor>
  <xdr:twoCellAnchor>
    <xdr:from>
      <xdr:col>3</xdr:col>
      <xdr:colOff>17316</xdr:colOff>
      <xdr:row>37</xdr:row>
      <xdr:rowOff>86578</xdr:rowOff>
    </xdr:from>
    <xdr:to>
      <xdr:col>91</xdr:col>
      <xdr:colOff>82259</xdr:colOff>
      <xdr:row>58</xdr:row>
      <xdr:rowOff>121782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1546FE49-ADCB-4583-A323-847627E1AAFF}"/>
            </a:ext>
          </a:extLst>
        </xdr:cNvPr>
        <xdr:cNvGrpSpPr/>
      </xdr:nvGrpSpPr>
      <xdr:grpSpPr>
        <a:xfrm>
          <a:off x="793171" y="6750614"/>
          <a:ext cx="22010543" cy="3817495"/>
          <a:chOff x="779316" y="7135078"/>
          <a:chExt cx="21400943" cy="4035704"/>
        </a:xfrm>
      </xdr:grpSpPr>
      <xdr:graphicFrame macro="">
        <xdr:nvGraphicFramePr>
          <xdr:cNvPr id="47" name="Gráfico 46">
            <a:extLst>
              <a:ext uri="{FF2B5EF4-FFF2-40B4-BE49-F238E27FC236}">
                <a16:creationId xmlns:a16="http://schemas.microsoft.com/office/drawing/2014/main" id="{BA1556F0-EBC0-4CD4-9BC9-373B70F839F9}"/>
              </a:ext>
            </a:extLst>
          </xdr:cNvPr>
          <xdr:cNvGraphicFramePr>
            <a:graphicFrameLocks/>
          </xdr:cNvGraphicFramePr>
        </xdr:nvGraphicFramePr>
        <xdr:xfrm>
          <a:off x="779316" y="7616734"/>
          <a:ext cx="21400943" cy="355404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51" name="CaixaDeTexto 18">
            <a:extLst>
              <a:ext uri="{FF2B5EF4-FFF2-40B4-BE49-F238E27FC236}">
                <a16:creationId xmlns:a16="http://schemas.microsoft.com/office/drawing/2014/main" id="{8702BEA8-300A-4AEF-9A39-59AB8CA56D86}"/>
              </a:ext>
            </a:extLst>
          </xdr:cNvPr>
          <xdr:cNvSpPr txBox="1"/>
        </xdr:nvSpPr>
        <xdr:spPr>
          <a:xfrm>
            <a:off x="9250113" y="7135078"/>
            <a:ext cx="4459348" cy="41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Resultado Diário</a:t>
            </a:r>
            <a:endParaRPr lang="pt-BR" sz="44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/>
  </xdr:twoCellAnchor>
  <xdr:twoCellAnchor>
    <xdr:from>
      <xdr:col>28</xdr:col>
      <xdr:colOff>226265</xdr:colOff>
      <xdr:row>14</xdr:row>
      <xdr:rowOff>86577</xdr:rowOff>
    </xdr:from>
    <xdr:to>
      <xdr:col>51</xdr:col>
      <xdr:colOff>139936</xdr:colOff>
      <xdr:row>35</xdr:row>
      <xdr:rowOff>167732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E6764BD5-BF28-4E99-BD8C-23D6041AD7AA}"/>
            </a:ext>
          </a:extLst>
        </xdr:cNvPr>
        <xdr:cNvGrpSpPr/>
      </xdr:nvGrpSpPr>
      <xdr:grpSpPr>
        <a:xfrm>
          <a:off x="7236665" y="2608104"/>
          <a:ext cx="5649453" cy="3863446"/>
          <a:chOff x="7049629" y="2753577"/>
          <a:chExt cx="5490125" cy="4081655"/>
        </a:xfrm>
      </xdr:grpSpPr>
      <xdr:sp macro="" textlink="">
        <xdr:nvSpPr>
          <xdr:cNvPr id="49" name="CaixaDeTexto 18">
            <a:extLst>
              <a:ext uri="{FF2B5EF4-FFF2-40B4-BE49-F238E27FC236}">
                <a16:creationId xmlns:a16="http://schemas.microsoft.com/office/drawing/2014/main" id="{F8CCD274-83FD-4101-A045-CD6A7770378C}"/>
              </a:ext>
            </a:extLst>
          </xdr:cNvPr>
          <xdr:cNvSpPr txBox="1"/>
        </xdr:nvSpPr>
        <xdr:spPr>
          <a:xfrm>
            <a:off x="8380510" y="2753577"/>
            <a:ext cx="2828363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Tipo de Ordem</a:t>
            </a:r>
            <a:endParaRPr lang="pt-BR" sz="44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  <xdr:graphicFrame macro="">
        <xdr:nvGraphicFramePr>
          <xdr:cNvPr id="52" name="Gráfico 51">
            <a:extLst>
              <a:ext uri="{FF2B5EF4-FFF2-40B4-BE49-F238E27FC236}">
                <a16:creationId xmlns:a16="http://schemas.microsoft.com/office/drawing/2014/main" id="{464045F1-411D-4D6B-94CC-924D0C087DCC}"/>
              </a:ext>
            </a:extLst>
          </xdr:cNvPr>
          <xdr:cNvGraphicFramePr>
            <a:graphicFrameLocks/>
          </xdr:cNvGraphicFramePr>
        </xdr:nvGraphicFramePr>
        <xdr:xfrm>
          <a:off x="7049629" y="3235232"/>
          <a:ext cx="5490125" cy="36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11682</xdr:colOff>
      <xdr:row>0</xdr:row>
      <xdr:rowOff>0</xdr:rowOff>
    </xdr:from>
    <xdr:to>
      <xdr:col>94</xdr:col>
      <xdr:colOff>111627</xdr:colOff>
      <xdr:row>60</xdr:row>
      <xdr:rowOff>21810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6F5EE38-DE70-451E-BBD0-A50857BB574A}"/>
            </a:ext>
          </a:extLst>
        </xdr:cNvPr>
        <xdr:cNvSpPr/>
      </xdr:nvSpPr>
      <xdr:spPr>
        <a:xfrm>
          <a:off x="11682" y="0"/>
          <a:ext cx="23236477" cy="11083100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164725</xdr:rowOff>
    </xdr:from>
    <xdr:to>
      <xdr:col>94</xdr:col>
      <xdr:colOff>101850</xdr:colOff>
      <xdr:row>4</xdr:row>
      <xdr:rowOff>54437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4522208B-87F2-482F-B84A-72A1F2461D61}"/>
            </a:ext>
          </a:extLst>
        </xdr:cNvPr>
        <xdr:cNvSpPr/>
      </xdr:nvSpPr>
      <xdr:spPr>
        <a:xfrm>
          <a:off x="0" y="164725"/>
          <a:ext cx="23400000" cy="6517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2932</xdr:colOff>
      <xdr:row>0</xdr:row>
      <xdr:rowOff>185270</xdr:rowOff>
    </xdr:from>
    <xdr:ext cx="23400000" cy="600075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A348DC9B-3528-4331-86B2-E822983F1AE2}"/>
            </a:ext>
          </a:extLst>
        </xdr:cNvPr>
        <xdr:cNvSpPr txBox="1"/>
      </xdr:nvSpPr>
      <xdr:spPr>
        <a:xfrm>
          <a:off x="2932" y="185270"/>
          <a:ext cx="23400000" cy="6000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4000" b="1">
              <a:latin typeface="Verdana" pitchFamily="34" charset="0"/>
              <a:ea typeface="Verdana" pitchFamily="34" charset="0"/>
              <a:cs typeface="Verdana" pitchFamily="34" charset="0"/>
            </a:rPr>
            <a:t>Relatório de Performance</a:t>
          </a:r>
        </a:p>
      </xdr:txBody>
    </xdr:sp>
    <xdr:clientData/>
  </xdr:oneCellAnchor>
  <xdr:twoCellAnchor editAs="oneCell">
    <xdr:from>
      <xdr:col>83</xdr:col>
      <xdr:colOff>211286</xdr:colOff>
      <xdr:row>0</xdr:row>
      <xdr:rowOff>183365</xdr:rowOff>
    </xdr:from>
    <xdr:to>
      <xdr:col>94</xdr:col>
      <xdr:colOff>74471</xdr:colOff>
      <xdr:row>3</xdr:row>
      <xdr:rowOff>172824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66417ACB-738F-4764-B961-E4F50678C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5286" y="183365"/>
          <a:ext cx="2587335" cy="55714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6552</xdr:rowOff>
    </xdr:from>
    <xdr:to>
      <xdr:col>94</xdr:col>
      <xdr:colOff>101850</xdr:colOff>
      <xdr:row>4</xdr:row>
      <xdr:rowOff>137521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9F1D0A2D-5243-4483-9361-EBA2AF56AE05}"/>
            </a:ext>
          </a:extLst>
        </xdr:cNvPr>
        <xdr:cNvSpPr/>
      </xdr:nvSpPr>
      <xdr:spPr>
        <a:xfrm>
          <a:off x="0" y="768552"/>
          <a:ext cx="23400000" cy="130969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51128</xdr:rowOff>
    </xdr:from>
    <xdr:to>
      <xdr:col>94</xdr:col>
      <xdr:colOff>101850</xdr:colOff>
      <xdr:row>0</xdr:row>
      <xdr:rowOff>182097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BAAB8A2E-C26F-4668-AB5E-5EE97C4C5AB4}"/>
            </a:ext>
          </a:extLst>
        </xdr:cNvPr>
        <xdr:cNvSpPr/>
      </xdr:nvSpPr>
      <xdr:spPr>
        <a:xfrm>
          <a:off x="0" y="51128"/>
          <a:ext cx="23400000" cy="130969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14700</xdr:colOff>
      <xdr:row>1</xdr:row>
      <xdr:rowOff>3368</xdr:rowOff>
    </xdr:from>
    <xdr:to>
      <xdr:col>10</xdr:col>
      <xdr:colOff>130810</xdr:colOff>
      <xdr:row>4</xdr:row>
      <xdr:rowOff>1765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C410B932-494C-4F4A-80A5-87D4D8707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00" y="193868"/>
          <a:ext cx="2607850" cy="55714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36</xdr:row>
      <xdr:rowOff>89953</xdr:rowOff>
    </xdr:from>
    <xdr:to>
      <xdr:col>94</xdr:col>
      <xdr:colOff>103036</xdr:colOff>
      <xdr:row>36</xdr:row>
      <xdr:rowOff>157698</xdr:rowOff>
    </xdr:to>
    <xdr:sp macro="" textlink="">
      <xdr:nvSpPr>
        <xdr:cNvPr id="22" name="Retângulo 23">
          <a:extLst>
            <a:ext uri="{FF2B5EF4-FFF2-40B4-BE49-F238E27FC236}">
              <a16:creationId xmlns:a16="http://schemas.microsoft.com/office/drawing/2014/main" id="{CF78D5ED-7536-4E04-B669-153AF47BBD1F}"/>
            </a:ext>
          </a:extLst>
        </xdr:cNvPr>
        <xdr:cNvSpPr/>
      </xdr:nvSpPr>
      <xdr:spPr>
        <a:xfrm>
          <a:off x="0" y="6947953"/>
          <a:ext cx="22928400" cy="6774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13</xdr:row>
      <xdr:rowOff>62243</xdr:rowOff>
    </xdr:from>
    <xdr:to>
      <xdr:col>94</xdr:col>
      <xdr:colOff>103036</xdr:colOff>
      <xdr:row>13</xdr:row>
      <xdr:rowOff>129988</xdr:rowOff>
    </xdr:to>
    <xdr:sp macro="" textlink="">
      <xdr:nvSpPr>
        <xdr:cNvPr id="23" name="Retângulo 23">
          <a:extLst>
            <a:ext uri="{FF2B5EF4-FFF2-40B4-BE49-F238E27FC236}">
              <a16:creationId xmlns:a16="http://schemas.microsoft.com/office/drawing/2014/main" id="{FB35139C-7495-48EA-9D78-F25611277083}"/>
            </a:ext>
          </a:extLst>
        </xdr:cNvPr>
        <xdr:cNvSpPr/>
      </xdr:nvSpPr>
      <xdr:spPr>
        <a:xfrm>
          <a:off x="0" y="2538743"/>
          <a:ext cx="22928400" cy="6774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5</xdr:row>
      <xdr:rowOff>452</xdr:rowOff>
    </xdr:from>
    <xdr:to>
      <xdr:col>7</xdr:col>
      <xdr:colOff>29456</xdr:colOff>
      <xdr:row>12</xdr:row>
      <xdr:rowOff>108429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BF93587A-3AC7-4901-AD68-899771553CCC}"/>
            </a:ext>
          </a:extLst>
        </xdr:cNvPr>
        <xdr:cNvGrpSpPr/>
      </xdr:nvGrpSpPr>
      <xdr:grpSpPr>
        <a:xfrm>
          <a:off x="0" y="900997"/>
          <a:ext cx="1802838" cy="1368741"/>
          <a:chOff x="0" y="952952"/>
          <a:chExt cx="1761274" cy="1441477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5" name="Ano 3">
                <a:extLst>
                  <a:ext uri="{FF2B5EF4-FFF2-40B4-BE49-F238E27FC236}">
                    <a16:creationId xmlns:a16="http://schemas.microsoft.com/office/drawing/2014/main" id="{07B6111F-11A5-44E2-8134-19E7960998D4}"/>
                  </a:ext>
                </a:extLst>
              </xdr:cNvPr>
              <xdr:cNvGraphicFramePr/>
            </xdr:nvGraphicFramePr>
            <xdr:xfrm>
              <a:off x="115456" y="1063264"/>
              <a:ext cx="1645818" cy="1331165"/>
            </xdr:xfrm>
            <a:graphic>
              <a:graphicData uri="http://schemas.microsoft.com/office/drawing/2010/slicer">
                <sle:slicer xmlns:sle="http://schemas.microsoft.com/office/drawing/2010/slicer" name="Ano 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5456" y="1063264"/>
                <a:ext cx="1645818" cy="133116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5" name="CaixaDeTexto 18">
            <a:extLst>
              <a:ext uri="{FF2B5EF4-FFF2-40B4-BE49-F238E27FC236}">
                <a16:creationId xmlns:a16="http://schemas.microsoft.com/office/drawing/2014/main" id="{6BE5E610-14EF-40F4-AD67-8B9EFFF1F378}"/>
              </a:ext>
            </a:extLst>
          </xdr:cNvPr>
          <xdr:cNvSpPr txBox="1"/>
        </xdr:nvSpPr>
        <xdr:spPr>
          <a:xfrm>
            <a:off x="0" y="952952"/>
            <a:ext cx="984250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Ano: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8</xdr:col>
      <xdr:colOff>41600</xdr:colOff>
      <xdr:row>5</xdr:row>
      <xdr:rowOff>452</xdr:rowOff>
    </xdr:from>
    <xdr:to>
      <xdr:col>17</xdr:col>
      <xdr:colOff>42184</xdr:colOff>
      <xdr:row>12</xdr:row>
      <xdr:rowOff>109264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838B8298-9F9F-4CFF-B56A-8417C185DFC5}"/>
            </a:ext>
          </a:extLst>
        </xdr:cNvPr>
        <xdr:cNvGrpSpPr/>
      </xdr:nvGrpSpPr>
      <xdr:grpSpPr>
        <a:xfrm>
          <a:off x="2064364" y="900997"/>
          <a:ext cx="2245020" cy="1369576"/>
          <a:chOff x="1908111" y="952952"/>
          <a:chExt cx="2182675" cy="144231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" name="Mês 3">
                <a:extLst>
                  <a:ext uri="{FF2B5EF4-FFF2-40B4-BE49-F238E27FC236}">
                    <a16:creationId xmlns:a16="http://schemas.microsoft.com/office/drawing/2014/main" id="{FD70B073-EA97-4095-B428-21B40C7B13D4}"/>
                  </a:ext>
                </a:extLst>
              </xdr:cNvPr>
              <xdr:cNvGraphicFramePr/>
            </xdr:nvGraphicFramePr>
            <xdr:xfrm>
              <a:off x="2023150" y="1063264"/>
              <a:ext cx="2067636" cy="1332000"/>
            </xdr:xfrm>
            <a:graphic>
              <a:graphicData uri="http://schemas.microsoft.com/office/drawing/2010/slicer">
                <sle:slicer xmlns:sle="http://schemas.microsoft.com/office/drawing/2010/slicer" name="Mês 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130912" y="1063264"/>
                <a:ext cx="2067636" cy="1332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6" name="CaixaDeTexto 18">
            <a:extLst>
              <a:ext uri="{FF2B5EF4-FFF2-40B4-BE49-F238E27FC236}">
                <a16:creationId xmlns:a16="http://schemas.microsoft.com/office/drawing/2014/main" id="{F3DD258C-D43A-4B46-85B4-78B66130C840}"/>
              </a:ext>
            </a:extLst>
          </xdr:cNvPr>
          <xdr:cNvSpPr txBox="1"/>
        </xdr:nvSpPr>
        <xdr:spPr>
          <a:xfrm>
            <a:off x="1908111" y="952952"/>
            <a:ext cx="984250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Mês: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18</xdr:col>
      <xdr:colOff>54329</xdr:colOff>
      <xdr:row>5</xdr:row>
      <xdr:rowOff>452</xdr:rowOff>
    </xdr:from>
    <xdr:to>
      <xdr:col>33</xdr:col>
      <xdr:colOff>117261</xdr:colOff>
      <xdr:row>12</xdr:row>
      <xdr:rowOff>110763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E0041F92-58ED-4A37-8E9B-9A4927BC2C27}"/>
            </a:ext>
          </a:extLst>
        </xdr:cNvPr>
        <xdr:cNvGrpSpPr/>
      </xdr:nvGrpSpPr>
      <xdr:grpSpPr>
        <a:xfrm>
          <a:off x="4570911" y="900997"/>
          <a:ext cx="3803659" cy="1371075"/>
          <a:chOff x="4336799" y="952952"/>
          <a:chExt cx="3699750" cy="1443811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7" name="Semana 3">
                <a:extLst>
                  <a:ext uri="{FF2B5EF4-FFF2-40B4-BE49-F238E27FC236}">
                    <a16:creationId xmlns:a16="http://schemas.microsoft.com/office/drawing/2014/main" id="{B637A9DB-0A46-4723-8ECE-C3741265FCF1}"/>
                  </a:ext>
                </a:extLst>
              </xdr:cNvPr>
              <xdr:cNvGraphicFramePr/>
            </xdr:nvGraphicFramePr>
            <xdr:xfrm>
              <a:off x="4352662" y="1063264"/>
              <a:ext cx="3683887" cy="1333499"/>
            </xdr:xfrm>
            <a:graphic>
              <a:graphicData uri="http://schemas.microsoft.com/office/drawing/2010/slicer">
                <sle:slicer xmlns:sle="http://schemas.microsoft.com/office/drawing/2010/slicer" name="Semana 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469010" y="1063264"/>
                <a:ext cx="3683887" cy="1333499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7" name="CaixaDeTexto 18">
            <a:extLst>
              <a:ext uri="{FF2B5EF4-FFF2-40B4-BE49-F238E27FC236}">
                <a16:creationId xmlns:a16="http://schemas.microsoft.com/office/drawing/2014/main" id="{3C8FFFDB-B2DB-43E2-8D01-FC5827AC612E}"/>
              </a:ext>
            </a:extLst>
          </xdr:cNvPr>
          <xdr:cNvSpPr txBox="1"/>
        </xdr:nvSpPr>
        <xdr:spPr>
          <a:xfrm>
            <a:off x="4336799" y="952952"/>
            <a:ext cx="2076449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Semana do ano: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34</xdr:col>
      <xdr:colOff>129405</xdr:colOff>
      <xdr:row>5</xdr:row>
      <xdr:rowOff>452</xdr:rowOff>
    </xdr:from>
    <xdr:to>
      <xdr:col>53</xdr:col>
      <xdr:colOff>91311</xdr:colOff>
      <xdr:row>12</xdr:row>
      <xdr:rowOff>109264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72530E5D-B564-41CE-8535-526DA32EF4FA}"/>
            </a:ext>
          </a:extLst>
        </xdr:cNvPr>
        <xdr:cNvGrpSpPr/>
      </xdr:nvGrpSpPr>
      <xdr:grpSpPr>
        <a:xfrm>
          <a:off x="8636096" y="900997"/>
          <a:ext cx="4700160" cy="1369576"/>
          <a:chOff x="8283482" y="952952"/>
          <a:chExt cx="4568542" cy="144231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Ativo 4">
                <a:extLst>
                  <a:ext uri="{FF2B5EF4-FFF2-40B4-BE49-F238E27FC236}">
                    <a16:creationId xmlns:a16="http://schemas.microsoft.com/office/drawing/2014/main" id="{02C2CF22-E236-4A99-BECE-FCCED7FF6A68}"/>
                  </a:ext>
                </a:extLst>
              </xdr:cNvPr>
              <xdr:cNvGraphicFramePr/>
            </xdr:nvGraphicFramePr>
            <xdr:xfrm>
              <a:off x="8298425" y="1063264"/>
              <a:ext cx="4553599" cy="1332000"/>
            </xdr:xfrm>
            <a:graphic>
              <a:graphicData uri="http://schemas.microsoft.com/office/drawing/2010/slicer">
                <sle:slicer xmlns:sle="http://schemas.microsoft.com/office/drawing/2010/slicer" name="Ativo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8422439" y="1063264"/>
                <a:ext cx="4553599" cy="1332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8" name="CaixaDeTexto 18">
            <a:extLst>
              <a:ext uri="{FF2B5EF4-FFF2-40B4-BE49-F238E27FC236}">
                <a16:creationId xmlns:a16="http://schemas.microsoft.com/office/drawing/2014/main" id="{B2735EC3-E297-42CB-A4B3-0AA24CC3B983}"/>
              </a:ext>
            </a:extLst>
          </xdr:cNvPr>
          <xdr:cNvSpPr txBox="1"/>
        </xdr:nvSpPr>
        <xdr:spPr>
          <a:xfrm>
            <a:off x="8283482" y="952952"/>
            <a:ext cx="902676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Ativo: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54</xdr:col>
      <xdr:colOff>103455</xdr:colOff>
      <xdr:row>3</xdr:row>
      <xdr:rowOff>171902</xdr:rowOff>
    </xdr:from>
    <xdr:to>
      <xdr:col>62</xdr:col>
      <xdr:colOff>31183</xdr:colOff>
      <xdr:row>12</xdr:row>
      <xdr:rowOff>109264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EDBBA866-6E9A-48ED-B2C0-9873EA4A6341}"/>
            </a:ext>
          </a:extLst>
        </xdr:cNvPr>
        <xdr:cNvGrpSpPr/>
      </xdr:nvGrpSpPr>
      <xdr:grpSpPr>
        <a:xfrm>
          <a:off x="13597782" y="712229"/>
          <a:ext cx="1922783" cy="1558344"/>
          <a:chOff x="12953815" y="743402"/>
          <a:chExt cx="1867364" cy="165186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7" name="Tipo de Ordem 3">
                <a:extLst>
                  <a:ext uri="{FF2B5EF4-FFF2-40B4-BE49-F238E27FC236}">
                    <a16:creationId xmlns:a16="http://schemas.microsoft.com/office/drawing/2014/main" id="{AED00450-A090-45B4-9192-AC14E3CD7D02}"/>
                  </a:ext>
                </a:extLst>
              </xdr:cNvPr>
              <xdr:cNvGraphicFramePr/>
            </xdr:nvGraphicFramePr>
            <xdr:xfrm>
              <a:off x="13113899" y="1063264"/>
              <a:ext cx="1707280" cy="1332000"/>
            </xdr:xfrm>
            <a:graphic>
              <a:graphicData uri="http://schemas.microsoft.com/office/drawing/2010/slicer">
                <sle:slicer xmlns:sle="http://schemas.microsoft.com/office/drawing/2010/slicer" name="Tipo de Ordem 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3390721" y="1063264"/>
                <a:ext cx="1707280" cy="1332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9" name="CaixaDeTexto 18">
            <a:extLst>
              <a:ext uri="{FF2B5EF4-FFF2-40B4-BE49-F238E27FC236}">
                <a16:creationId xmlns:a16="http://schemas.microsoft.com/office/drawing/2014/main" id="{76D401A1-919F-47E5-919F-48D9A76F1C2D}"/>
              </a:ext>
            </a:extLst>
          </xdr:cNvPr>
          <xdr:cNvSpPr txBox="1"/>
        </xdr:nvSpPr>
        <xdr:spPr>
          <a:xfrm>
            <a:off x="12953815" y="743402"/>
            <a:ext cx="1173308" cy="7615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2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Tipo de ordem:</a:t>
            </a:r>
            <a:endParaRPr lang="pt-BR" sz="24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63</xdr:col>
      <xdr:colOff>43325</xdr:colOff>
      <xdr:row>5</xdr:row>
      <xdr:rowOff>452</xdr:rowOff>
    </xdr:from>
    <xdr:to>
      <xdr:col>78</xdr:col>
      <xdr:colOff>49066</xdr:colOff>
      <xdr:row>12</xdr:row>
      <xdr:rowOff>109264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7D2E2A55-9F08-4F0B-950A-2B8CD253FFE3}"/>
            </a:ext>
          </a:extLst>
        </xdr:cNvPr>
        <xdr:cNvGrpSpPr/>
      </xdr:nvGrpSpPr>
      <xdr:grpSpPr>
        <a:xfrm>
          <a:off x="15782089" y="900997"/>
          <a:ext cx="3746468" cy="1369576"/>
          <a:chOff x="14971601" y="952952"/>
          <a:chExt cx="3642559" cy="144231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8" name="Estratégia 4">
                <a:extLst>
                  <a:ext uri="{FF2B5EF4-FFF2-40B4-BE49-F238E27FC236}">
                    <a16:creationId xmlns:a16="http://schemas.microsoft.com/office/drawing/2014/main" id="{CD3E4CDD-3F84-4F51-B8CC-CE65989352AE}"/>
                  </a:ext>
                </a:extLst>
              </xdr:cNvPr>
              <xdr:cNvGraphicFramePr/>
            </xdr:nvGraphicFramePr>
            <xdr:xfrm>
              <a:off x="15071510" y="1063264"/>
              <a:ext cx="3542650" cy="1332000"/>
            </xdr:xfrm>
            <a:graphic>
              <a:graphicData uri="http://schemas.microsoft.com/office/drawing/2010/slicer">
                <sle:slicer xmlns:sle="http://schemas.microsoft.com/office/drawing/2010/slicer" name="Estratégia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5452507" y="1063264"/>
                <a:ext cx="3542650" cy="1332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30" name="CaixaDeTexto 18">
            <a:extLst>
              <a:ext uri="{FF2B5EF4-FFF2-40B4-BE49-F238E27FC236}">
                <a16:creationId xmlns:a16="http://schemas.microsoft.com/office/drawing/2014/main" id="{50F6CE3A-AACD-4CE3-8E70-C7A2016C26B6}"/>
              </a:ext>
            </a:extLst>
          </xdr:cNvPr>
          <xdr:cNvSpPr txBox="1"/>
        </xdr:nvSpPr>
        <xdr:spPr>
          <a:xfrm>
            <a:off x="14971601" y="952952"/>
            <a:ext cx="1658367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Estratégia: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86</xdr:col>
          <xdr:colOff>154420</xdr:colOff>
          <xdr:row>5</xdr:row>
          <xdr:rowOff>185476</xdr:rowOff>
        </xdr:from>
        <xdr:to>
          <xdr:col>92</xdr:col>
          <xdr:colOff>101787</xdr:colOff>
          <xdr:row>7</xdr:row>
          <xdr:rowOff>60286</xdr:rowOff>
        </xdr:to>
        <xdr:pic>
          <xdr:nvPicPr>
            <xdr:cNvPr id="31" name="Imagem 30">
              <a:extLst>
                <a:ext uri="{FF2B5EF4-FFF2-40B4-BE49-F238E27FC236}">
                  <a16:creationId xmlns:a16="http://schemas.microsoft.com/office/drawing/2014/main" id="{A9146430-9F5A-470A-BD5F-E18C453CBC31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Dinâmicas!$AB$2" spid="_x0000_s1473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1040147" y="1137976"/>
              <a:ext cx="1404000" cy="25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oneCellAnchor>
    <xdr:from>
      <xdr:col>80</xdr:col>
      <xdr:colOff>87653</xdr:colOff>
      <xdr:row>4</xdr:row>
      <xdr:rowOff>146702</xdr:rowOff>
    </xdr:from>
    <xdr:ext cx="1473183" cy="710548"/>
    <xdr:sp macro="" textlink="">
      <xdr:nvSpPr>
        <xdr:cNvPr id="32" name="CaixaDeTexto 18">
          <a:extLst>
            <a:ext uri="{FF2B5EF4-FFF2-40B4-BE49-F238E27FC236}">
              <a16:creationId xmlns:a16="http://schemas.microsoft.com/office/drawing/2014/main" id="{CC57C1E1-9BD6-4198-A355-5F9C752B8024}"/>
            </a:ext>
          </a:extLst>
        </xdr:cNvPr>
        <xdr:cNvSpPr txBox="1"/>
      </xdr:nvSpPr>
      <xdr:spPr>
        <a:xfrm>
          <a:off x="19518653" y="908702"/>
          <a:ext cx="1473183" cy="7105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6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rPr>
            <a:t>Resultado Financeiro:</a:t>
          </a:r>
          <a:endParaRPr lang="pt-BR" sz="3200" b="1">
            <a:solidFill>
              <a:schemeClr val="bg1"/>
            </a:solidFill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86</xdr:col>
          <xdr:colOff>154420</xdr:colOff>
          <xdr:row>10</xdr:row>
          <xdr:rowOff>0</xdr:rowOff>
        </xdr:from>
        <xdr:to>
          <xdr:col>92</xdr:col>
          <xdr:colOff>101787</xdr:colOff>
          <xdr:row>11</xdr:row>
          <xdr:rowOff>57690</xdr:rowOff>
        </xdr:to>
        <xdr:pic>
          <xdr:nvPicPr>
            <xdr:cNvPr id="33" name="Imagem 32">
              <a:extLst>
                <a:ext uri="{FF2B5EF4-FFF2-40B4-BE49-F238E27FC236}">
                  <a16:creationId xmlns:a16="http://schemas.microsoft.com/office/drawing/2014/main" id="{701AEF5B-FA1D-4487-A6AF-6021CA1777D8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Dinâmicas!$AB$3" spid="_x0000_s1473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1040147" y="1905000"/>
              <a:ext cx="1404000" cy="25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oneCellAnchor>
    <xdr:from>
      <xdr:col>79</xdr:col>
      <xdr:colOff>190500</xdr:colOff>
      <xdr:row>10</xdr:row>
      <xdr:rowOff>0</xdr:rowOff>
    </xdr:from>
    <xdr:ext cx="1752399" cy="252000"/>
    <xdr:sp macro="" textlink="">
      <xdr:nvSpPr>
        <xdr:cNvPr id="34" name="CaixaDeTexto 18">
          <a:extLst>
            <a:ext uri="{FF2B5EF4-FFF2-40B4-BE49-F238E27FC236}">
              <a16:creationId xmlns:a16="http://schemas.microsoft.com/office/drawing/2014/main" id="{1DAD46D5-85FF-4E71-BFC5-77DF0E564D5E}"/>
            </a:ext>
          </a:extLst>
        </xdr:cNvPr>
        <xdr:cNvSpPr txBox="1"/>
      </xdr:nvSpPr>
      <xdr:spPr>
        <a:xfrm>
          <a:off x="19379045" y="1905000"/>
          <a:ext cx="1752399" cy="252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6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rPr>
            <a:t>Saldo Final:</a:t>
          </a:r>
          <a:endParaRPr lang="pt-BR" sz="3200" b="1">
            <a:solidFill>
              <a:schemeClr val="bg1"/>
            </a:solidFill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oneCellAnchor>
  <xdr:twoCellAnchor>
    <xdr:from>
      <xdr:col>13</xdr:col>
      <xdr:colOff>127000</xdr:colOff>
      <xdr:row>1</xdr:row>
      <xdr:rowOff>0</xdr:rowOff>
    </xdr:from>
    <xdr:to>
      <xdr:col>19</xdr:col>
      <xdr:colOff>142876</xdr:colOff>
      <xdr:row>4</xdr:row>
      <xdr:rowOff>47625</xdr:rowOff>
    </xdr:to>
    <xdr:grpSp>
      <xdr:nvGrpSpPr>
        <xdr:cNvPr id="35" name="Agrupar 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DB87B12-FA67-4398-8356-8578B7644E1A}"/>
            </a:ext>
          </a:extLst>
        </xdr:cNvPr>
        <xdr:cNvGrpSpPr/>
      </xdr:nvGrpSpPr>
      <xdr:grpSpPr>
        <a:xfrm>
          <a:off x="3396673" y="180109"/>
          <a:ext cx="1512167" cy="587952"/>
          <a:chOff x="3429000" y="190500"/>
          <a:chExt cx="1539876" cy="619125"/>
        </a:xfrm>
      </xdr:grpSpPr>
      <xdr:pic>
        <xdr:nvPicPr>
          <xdr:cNvPr id="36" name="Gráfico 35" descr="Gráfico de barras">
            <a:extLst>
              <a:ext uri="{FF2B5EF4-FFF2-40B4-BE49-F238E27FC236}">
                <a16:creationId xmlns:a16="http://schemas.microsoft.com/office/drawing/2014/main" id="{EC62C5CE-1BEF-4C04-A3E4-3AC7DE5BF0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429000" y="190500"/>
            <a:ext cx="619125" cy="619125"/>
          </a:xfrm>
          <a:prstGeom prst="rect">
            <a:avLst/>
          </a:prstGeom>
        </xdr:spPr>
      </xdr:pic>
      <xdr:sp macro="" textlink="">
        <xdr:nvSpPr>
          <xdr:cNvPr id="37" name="CaixaDeTexto 18">
            <a:extLst>
              <a:ext uri="{FF2B5EF4-FFF2-40B4-BE49-F238E27FC236}">
                <a16:creationId xmlns:a16="http://schemas.microsoft.com/office/drawing/2014/main" id="{BAB1103E-1DC9-4C26-B778-2CA161E7B5CC}"/>
              </a:ext>
            </a:extLst>
          </xdr:cNvPr>
          <xdr:cNvSpPr txBox="1"/>
        </xdr:nvSpPr>
        <xdr:spPr>
          <a:xfrm>
            <a:off x="3873500" y="284062"/>
            <a:ext cx="1095376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400" b="1">
                <a:solidFill>
                  <a:sysClr val="windowText" lastClr="000000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Gráf. 1</a:t>
            </a:r>
            <a:endParaRPr lang="pt-BR" sz="4400" b="1">
              <a:solidFill>
                <a:sysClr val="windowText" lastClr="000000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/>
  </xdr:twoCellAnchor>
  <xdr:twoCellAnchor>
    <xdr:from>
      <xdr:col>20</xdr:col>
      <xdr:colOff>63500</xdr:colOff>
      <xdr:row>1</xdr:row>
      <xdr:rowOff>0</xdr:rowOff>
    </xdr:from>
    <xdr:to>
      <xdr:col>26</xdr:col>
      <xdr:colOff>79376</xdr:colOff>
      <xdr:row>4</xdr:row>
      <xdr:rowOff>47625</xdr:rowOff>
    </xdr:to>
    <xdr:grpSp>
      <xdr:nvGrpSpPr>
        <xdr:cNvPr id="38" name="Agrupar 3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219AFD0-680A-4185-8840-0DF325159FBF}"/>
            </a:ext>
          </a:extLst>
        </xdr:cNvPr>
        <xdr:cNvGrpSpPr/>
      </xdr:nvGrpSpPr>
      <xdr:grpSpPr>
        <a:xfrm>
          <a:off x="5078845" y="180109"/>
          <a:ext cx="1512167" cy="587952"/>
          <a:chOff x="5143500" y="183202"/>
          <a:chExt cx="1539876" cy="619125"/>
        </a:xfrm>
      </xdr:grpSpPr>
      <xdr:pic>
        <xdr:nvPicPr>
          <xdr:cNvPr id="39" name="Gráfico 38" descr="Gráfico de barras">
            <a:extLst>
              <a:ext uri="{FF2B5EF4-FFF2-40B4-BE49-F238E27FC236}">
                <a16:creationId xmlns:a16="http://schemas.microsoft.com/office/drawing/2014/main" id="{807FF100-0484-4DB3-A255-2DA322F83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143500" y="183202"/>
            <a:ext cx="619125" cy="619125"/>
          </a:xfrm>
          <a:prstGeom prst="rect">
            <a:avLst/>
          </a:prstGeom>
        </xdr:spPr>
      </xdr:pic>
      <xdr:sp macro="" textlink="">
        <xdr:nvSpPr>
          <xdr:cNvPr id="40" name="CaixaDeTexto 18">
            <a:extLst>
              <a:ext uri="{FF2B5EF4-FFF2-40B4-BE49-F238E27FC236}">
                <a16:creationId xmlns:a16="http://schemas.microsoft.com/office/drawing/2014/main" id="{CD9EC1DA-83AA-4343-A397-0DC273142A3C}"/>
              </a:ext>
            </a:extLst>
          </xdr:cNvPr>
          <xdr:cNvSpPr txBox="1"/>
        </xdr:nvSpPr>
        <xdr:spPr>
          <a:xfrm>
            <a:off x="5588000" y="276764"/>
            <a:ext cx="1095376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400" b="1">
                <a:solidFill>
                  <a:sysClr val="windowText" lastClr="000000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Gráf. 2</a:t>
            </a:r>
            <a:endParaRPr lang="pt-BR" sz="4400" b="1">
              <a:solidFill>
                <a:sysClr val="windowText" lastClr="000000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/>
  </xdr:twoCellAnchor>
  <xdr:twoCellAnchor>
    <xdr:from>
      <xdr:col>1</xdr:col>
      <xdr:colOff>86587</xdr:colOff>
      <xdr:row>13</xdr:row>
      <xdr:rowOff>190499</xdr:rowOff>
    </xdr:from>
    <xdr:to>
      <xdr:col>45</xdr:col>
      <xdr:colOff>198780</xdr:colOff>
      <xdr:row>35</xdr:row>
      <xdr:rowOff>133594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F139279D-3D69-46B6-88B5-0FCF5B0F6B59}"/>
            </a:ext>
          </a:extLst>
        </xdr:cNvPr>
        <xdr:cNvGrpSpPr/>
      </xdr:nvGrpSpPr>
      <xdr:grpSpPr>
        <a:xfrm>
          <a:off x="349823" y="2524297"/>
          <a:ext cx="11098848" cy="3913115"/>
          <a:chOff x="346360" y="2666999"/>
          <a:chExt cx="10797511" cy="4134095"/>
        </a:xfrm>
      </xdr:grpSpPr>
      <xdr:graphicFrame macro="">
        <xdr:nvGraphicFramePr>
          <xdr:cNvPr id="41" name="Gráfico 40">
            <a:extLst>
              <a:ext uri="{FF2B5EF4-FFF2-40B4-BE49-F238E27FC236}">
                <a16:creationId xmlns:a16="http://schemas.microsoft.com/office/drawing/2014/main" id="{6E5FF958-46B9-4766-81D5-1B79C847246E}"/>
              </a:ext>
            </a:extLst>
          </xdr:cNvPr>
          <xdr:cNvGraphicFramePr>
            <a:graphicFrameLocks/>
          </xdr:cNvGraphicFramePr>
        </xdr:nvGraphicFramePr>
        <xdr:xfrm>
          <a:off x="346360" y="3165094"/>
          <a:ext cx="10797511" cy="36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2" name="CaixaDeTexto 18">
            <a:extLst>
              <a:ext uri="{FF2B5EF4-FFF2-40B4-BE49-F238E27FC236}">
                <a16:creationId xmlns:a16="http://schemas.microsoft.com/office/drawing/2014/main" id="{3A2EC25E-B4DE-4B8D-B521-44ED951E3A11}"/>
              </a:ext>
            </a:extLst>
          </xdr:cNvPr>
          <xdr:cNvSpPr txBox="1"/>
        </xdr:nvSpPr>
        <xdr:spPr>
          <a:xfrm>
            <a:off x="4445652" y="2666999"/>
            <a:ext cx="2598926" cy="41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Performance</a:t>
            </a:r>
            <a:endParaRPr lang="pt-BR" sz="44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/>
  </xdr:twoCellAnchor>
  <xdr:twoCellAnchor>
    <xdr:from>
      <xdr:col>48</xdr:col>
      <xdr:colOff>68981</xdr:colOff>
      <xdr:row>13</xdr:row>
      <xdr:rowOff>190499</xdr:rowOff>
    </xdr:from>
    <xdr:to>
      <xdr:col>92</xdr:col>
      <xdr:colOff>211481</xdr:colOff>
      <xdr:row>35</xdr:row>
      <xdr:rowOff>133594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207A82A0-BC7F-4F30-9E17-63E622B772D6}"/>
            </a:ext>
          </a:extLst>
        </xdr:cNvPr>
        <xdr:cNvGrpSpPr/>
      </xdr:nvGrpSpPr>
      <xdr:grpSpPr>
        <a:xfrm>
          <a:off x="12067017" y="2524297"/>
          <a:ext cx="11115300" cy="3913115"/>
          <a:chOff x="11741436" y="2666999"/>
          <a:chExt cx="10810500" cy="4134095"/>
        </a:xfrm>
      </xdr:grpSpPr>
      <xdr:sp macro="" textlink="">
        <xdr:nvSpPr>
          <xdr:cNvPr id="43" name="CaixaDeTexto 18">
            <a:extLst>
              <a:ext uri="{FF2B5EF4-FFF2-40B4-BE49-F238E27FC236}">
                <a16:creationId xmlns:a16="http://schemas.microsoft.com/office/drawing/2014/main" id="{A7C29FB3-3B71-4B04-ACAD-75B371C39CB9}"/>
              </a:ext>
            </a:extLst>
          </xdr:cNvPr>
          <xdr:cNvSpPr txBox="1"/>
        </xdr:nvSpPr>
        <xdr:spPr>
          <a:xfrm>
            <a:off x="14834299" y="2666999"/>
            <a:ext cx="4624774" cy="41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Rentabilidade Mensal</a:t>
            </a:r>
            <a:endParaRPr lang="pt-BR" sz="44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  <xdr:graphicFrame macro="">
        <xdr:nvGraphicFramePr>
          <xdr:cNvPr id="45" name="Gráfico 44">
            <a:extLst>
              <a:ext uri="{FF2B5EF4-FFF2-40B4-BE49-F238E27FC236}">
                <a16:creationId xmlns:a16="http://schemas.microsoft.com/office/drawing/2014/main" id="{CFC6FAA0-6D0F-4F41-8874-84DF25182CA1}"/>
              </a:ext>
            </a:extLst>
          </xdr:cNvPr>
          <xdr:cNvGraphicFramePr>
            <a:graphicFrameLocks/>
          </xdr:cNvGraphicFramePr>
        </xdr:nvGraphicFramePr>
        <xdr:xfrm>
          <a:off x="11741436" y="3165094"/>
          <a:ext cx="10810500" cy="36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</xdr:grpSp>
    <xdr:clientData/>
  </xdr:twoCellAnchor>
  <xdr:twoCellAnchor>
    <xdr:from>
      <xdr:col>1</xdr:col>
      <xdr:colOff>177038</xdr:colOff>
      <xdr:row>37</xdr:row>
      <xdr:rowOff>99089</xdr:rowOff>
    </xdr:from>
    <xdr:to>
      <xdr:col>92</xdr:col>
      <xdr:colOff>121227</xdr:colOff>
      <xdr:row>60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6184FB1A-2460-4673-9406-5103735E5BBB}"/>
            </a:ext>
          </a:extLst>
        </xdr:cNvPr>
        <xdr:cNvGrpSpPr/>
      </xdr:nvGrpSpPr>
      <xdr:grpSpPr>
        <a:xfrm>
          <a:off x="440274" y="6763125"/>
          <a:ext cx="22651789" cy="4043420"/>
          <a:chOff x="436811" y="7147589"/>
          <a:chExt cx="22024871" cy="4282411"/>
        </a:xfrm>
      </xdr:grpSpPr>
      <xdr:sp macro="" textlink="">
        <xdr:nvSpPr>
          <xdr:cNvPr id="44" name="CaixaDeTexto 18">
            <a:extLst>
              <a:ext uri="{FF2B5EF4-FFF2-40B4-BE49-F238E27FC236}">
                <a16:creationId xmlns:a16="http://schemas.microsoft.com/office/drawing/2014/main" id="{A8867946-E7A6-444B-93B1-6B16FED80DF3}"/>
              </a:ext>
            </a:extLst>
          </xdr:cNvPr>
          <xdr:cNvSpPr txBox="1"/>
        </xdr:nvSpPr>
        <xdr:spPr>
          <a:xfrm>
            <a:off x="8744604" y="7147589"/>
            <a:ext cx="5409285" cy="41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Balanço Mensal $</a:t>
            </a:r>
            <a:endParaRPr lang="pt-BR" sz="44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  <xdr:graphicFrame macro="">
        <xdr:nvGraphicFramePr>
          <xdr:cNvPr id="46" name="Gráfico 45">
            <a:extLst>
              <a:ext uri="{FF2B5EF4-FFF2-40B4-BE49-F238E27FC236}">
                <a16:creationId xmlns:a16="http://schemas.microsoft.com/office/drawing/2014/main" id="{96118A18-A316-49B7-ABC9-E506791689C1}"/>
              </a:ext>
            </a:extLst>
          </xdr:cNvPr>
          <xdr:cNvGraphicFramePr>
            <a:graphicFrameLocks/>
          </xdr:cNvGraphicFramePr>
        </xdr:nvGraphicFramePr>
        <xdr:xfrm>
          <a:off x="436811" y="7734963"/>
          <a:ext cx="22024871" cy="3695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443.552776620367" createdVersion="6" refreshedVersion="7" minRefreshableVersion="3" recordCount="136" xr:uid="{00000000-000A-0000-FFFF-FFFF01000000}">
  <cacheSource type="worksheet">
    <worksheetSource name="Tabela1"/>
  </cacheSource>
  <cacheFields count="12">
    <cacheField name="Ano" numFmtId="0">
      <sharedItems containsSemiMixedTypes="0" containsString="0" containsNumber="1" containsInteger="1" minValue="2020" maxValue="2031" count="12">
        <n v="2020"/>
        <n v="2021"/>
        <n v="2022"/>
        <n v="2023"/>
        <n v="2024"/>
        <n v="2025"/>
        <n v="2026"/>
        <n v="2027"/>
        <n v="2028"/>
        <n v="2029"/>
        <n v="2030"/>
        <n v="2031"/>
      </sharedItems>
    </cacheField>
    <cacheField name="Mês" numFmtId="0">
      <sharedItems containsSemiMixedTypes="0" containsString="0" containsNumber="1" containsInteger="1" minValue="1" maxValue="12" count="12">
        <n v="9"/>
        <n v="10"/>
        <n v="11"/>
        <n v="12"/>
        <n v="1"/>
        <n v="2"/>
        <n v="3"/>
        <n v="4"/>
        <n v="5"/>
        <n v="6"/>
        <n v="7"/>
        <n v="8"/>
      </sharedItems>
    </cacheField>
    <cacheField name="início mês" numFmtId="170">
      <sharedItems containsSemiMixedTypes="0" containsNonDate="0" containsDate="1" containsString="0" minDate="1899-12-30T00:00:00" maxDate="2021-09-02T00:00:00"/>
    </cacheField>
    <cacheField name="fim mês" numFmtId="170">
      <sharedItems containsSemiMixedTypes="0" containsNonDate="0" containsDate="1" containsString="0" minDate="1899-12-30T00:00:00" maxDate="2021-09-03T00:00:00"/>
    </cacheField>
    <cacheField name="Saldo início mês" numFmtId="171">
      <sharedItems containsMixedTypes="1" containsNumber="1" containsInteger="1" minValue="5000" maxValue="5244"/>
    </cacheField>
    <cacheField name="Aporte $" numFmtId="171">
      <sharedItems containsSemiMixedTypes="0" containsString="0" containsNumber="1" containsInteger="1" minValue="0" maxValue="5050"/>
    </cacheField>
    <cacheField name="Retirada $" numFmtId="171">
      <sharedItems containsSemiMixedTypes="0" containsString="0" containsNumber="1" containsInteger="1" minValue="-600" maxValue="0"/>
    </cacheField>
    <cacheField name="Saldo final mês" numFmtId="171">
      <sharedItems containsMixedTypes="1" containsNumber="1" containsInteger="1" minValue="4627" maxValue="5344"/>
    </cacheField>
    <cacheField name="Lucro do mês" numFmtId="171">
      <sharedItems containsMixedTypes="1" containsNumber="1" containsInteger="1" minValue="-17" maxValue="294"/>
    </cacheField>
    <cacheField name="Resultado do mês %" numFmtId="10">
      <sharedItems containsMixedTypes="1" containsNumber="1" minValue="-1" maxValue="112.83333333333333" count="46">
        <e v="#N/A"/>
        <n v="5.8799999999999998E-2"/>
        <n v="-3.2418001525553013E-3"/>
        <n v="0" u="1"/>
        <n v="0.2117590050072686" u="1"/>
        <n v="-1.4200000000000001E-2" u="1"/>
        <n v="-0.28341624135926091" u="1"/>
        <n v="7.2171291453885442E-2" u="1"/>
        <n v="-0.05" u="1"/>
        <n v="0.112" u="1"/>
        <n v="0.24517296862429605" u="1"/>
        <n v="-1" u="1"/>
        <n v="-8.4599999999999995E-2" u="1"/>
        <n v="112.83333333333333" u="1"/>
        <n v="-0.06" u="1"/>
        <n v="-0.156" u="1"/>
        <n v="8.55597114613946E-2" u="1"/>
        <n v="-6.4600000000000005E-2" u="1"/>
        <n v="-2.4400000000000002E-2" u="1"/>
        <n v="0.27493966210780368" u="1"/>
        <n v="0.08" u="1"/>
        <n v="0.14047979252215259" u="1"/>
        <n v="0.12967365463583316" u="1"/>
        <n v="0.1" u="1"/>
        <n v="0.15845582296882571" u="1"/>
        <n v="2.5399999999999999E-2" u="1"/>
        <n v="3.8736176935229065E-2" u="1"/>
        <n v="3.5999999999999997E-2" u="1"/>
        <n v="0.14000000000000001" u="1"/>
        <n v="9.7274349350889064E-2" u="1"/>
        <n v="0.98965307364576993" u="1"/>
        <n v="-0.50093507881378574" u="1"/>
        <n v="0.06" u="1"/>
        <n v="0.17879999999999999" u="1"/>
        <n v="-0.112" u="1"/>
        <n v="0.05" u="1"/>
        <n v="1.0354000000000001" u="1"/>
        <n v="-5.5999999999999999E-3" u="1"/>
        <n v="3.9602041475547516E-2" u="1"/>
        <n v="3.5400000000000001E-2" u="1"/>
        <n v="-0.1" u="1"/>
        <n v="0.13539999999999999" u="1"/>
        <n v="1.0374000000000001" u="1"/>
        <n v="0.10256824422548862" u="1"/>
        <n v="9.7255240976874865E-2" u="1"/>
        <n v="4.5400000000000003E-2" u="1"/>
      </sharedItems>
    </cacheField>
    <cacheField name="Máx Drawdown value" numFmtId="171">
      <sharedItems containsSemiMixedTypes="0" containsString="0" containsNumber="1" containsInteger="1" minValue="-117" maxValue="0"/>
    </cacheField>
    <cacheField name="Performance" numFmtId="10">
      <sharedItems containsMixedTypes="1" containsNumber="1" minValue="-1.4529914529914532E-3" maxValue="-1.4529914529914532E-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443.552778935184" createdVersion="6" refreshedVersion="7" minRefreshableVersion="3" recordCount="5" xr:uid="{00000000-000A-0000-FFFF-FFFF00000000}">
  <cacheSource type="worksheet">
    <worksheetSource name="Tabela2"/>
  </cacheSource>
  <cacheFields count="26">
    <cacheField name="Data" numFmtId="170">
      <sharedItems containsNonDate="0" containsDate="1" containsString="0" containsBlank="1" minDate="2021-08-30T00:00:00" maxDate="2021-09-03T00:00:00"/>
    </cacheField>
    <cacheField name="Ativo" numFmtId="49">
      <sharedItems containsBlank="1" count="15">
        <s v="EURUSD"/>
        <s v="Nasdaq"/>
        <s v="AUDJPY"/>
        <s v="GOLD"/>
        <m/>
        <s v="-" u="1"/>
        <s v="Mini-índice" u="1"/>
        <s v="USDJPY" u="1"/>
        <s v="Mini índice" u="1"/>
        <s v="GBPUSD" u="1"/>
        <s v="AUDUSD" u="1"/>
        <s v="US100" u="1"/>
        <s v="mini" u="1"/>
        <s v="mini indice" u="1"/>
        <s v="min" u="1"/>
      </sharedItems>
    </cacheField>
    <cacheField name="Tipo de Ordem" numFmtId="49">
      <sharedItems containsBlank="1" count="4">
        <s v="Compra"/>
        <s v="Venda"/>
        <m/>
        <s v="-" u="1"/>
      </sharedItems>
    </cacheField>
    <cacheField name="Tipo de Operação" numFmtId="49">
      <sharedItems containsBlank="1"/>
    </cacheField>
    <cacheField name="Estratégia" numFmtId="49">
      <sharedItems containsBlank="1" count="9">
        <s v="XTrend"/>
        <s v="XWave"/>
        <s v="XFibo1"/>
        <m/>
        <s v="-" u="1"/>
        <s v="XFibo2" u="1"/>
        <s v="XFibo3" u="1"/>
        <s v="Outros" u="1"/>
        <s v="MétodoX" u="1"/>
      </sharedItems>
    </cacheField>
    <cacheField name="Lote" numFmtId="2">
      <sharedItems containsBlank="1"/>
    </cacheField>
    <cacheField name="Balanço $" numFmtId="171">
      <sharedItems containsMixedTypes="1" containsNumber="1" containsInteger="1" minValue="0" maxValue="5344"/>
    </cacheField>
    <cacheField name="Aporte / Retirada $" numFmtId="171">
      <sharedItems containsString="0" containsBlank="1" containsNumber="1" containsInteger="1" minValue="-500" maxValue="5000"/>
    </cacheField>
    <cacheField name="Resultado $" numFmtId="171">
      <sharedItems containsString="0" containsBlank="1" containsNumber="1" containsInteger="1" minValue="-117" maxValue="237"/>
    </cacheField>
    <cacheField name="Conclusão" numFmtId="49">
      <sharedItems containsBlank="1" count="5">
        <s v="Take Profit"/>
        <s v="Stop Loss"/>
        <s v="Breakeven"/>
        <m/>
        <s v="-" u="1"/>
      </sharedItems>
    </cacheField>
    <cacheField name="Status" numFmtId="49">
      <sharedItems containsBlank="1"/>
    </cacheField>
    <cacheField name="Observações" numFmtId="49">
      <sharedItems containsBlank="1"/>
    </cacheField>
    <cacheField name="Dia" numFmtId="1">
      <sharedItems containsSemiMixedTypes="0" containsString="0" containsNumber="1" containsInteger="1" minValue="0" maxValue="31" count="32">
        <n v="30"/>
        <n v="31"/>
        <n v="1"/>
        <n v="2"/>
        <n v="0"/>
        <n v="13" u="1"/>
        <n v="5" u="1"/>
        <n v="14" u="1"/>
        <n v="15" u="1"/>
        <n v="6" u="1"/>
        <n v="16" u="1"/>
        <n v="17" u="1"/>
        <n v="18" u="1"/>
        <n v="19" u="1"/>
        <n v="7" u="1"/>
        <n v="20" u="1"/>
        <n v="21" u="1"/>
        <n v="22" u="1"/>
        <n v="23" u="1"/>
        <n v="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4" u="1"/>
        <n v="12" u="1"/>
      </sharedItems>
    </cacheField>
    <cacheField name="Mês" numFmtId="1">
      <sharedItems containsSemiMixedTypes="0" containsString="0" containsNumber="1" containsInteger="1" minValue="1" maxValue="12" count="8">
        <n v="8"/>
        <n v="9"/>
        <n v="1"/>
        <n v="2" u="1"/>
        <n v="3" u="1"/>
        <n v="10" u="1"/>
        <n v="11" u="1"/>
        <n v="12" u="1"/>
      </sharedItems>
    </cacheField>
    <cacheField name="Ano" numFmtId="1">
      <sharedItems containsSemiMixedTypes="0" containsString="0" containsNumber="1" containsInteger="1" minValue="1900" maxValue="2021" count="3">
        <n v="2021"/>
        <n v="1900"/>
        <n v="2020" u="1"/>
      </sharedItems>
    </cacheField>
    <cacheField name="Semana" numFmtId="1">
      <sharedItems containsSemiMixedTypes="0" containsString="0" containsNumber="1" containsInteger="1" minValue="0" maxValue="53" count="19">
        <n v="36"/>
        <n v="0"/>
        <n v="5" u="1"/>
        <n v="44" u="1"/>
        <n v="2" u="1"/>
        <n v="46" u="1"/>
        <n v="6" u="1"/>
        <n v="48" u="1"/>
        <n v="50" u="1"/>
        <n v="52" u="1"/>
        <n v="1" u="1"/>
        <n v="3" u="1"/>
        <n v="45" u="1"/>
        <n v="10" u="1"/>
        <n v="47" u="1"/>
        <n v="49" u="1"/>
        <n v="51" u="1"/>
        <n v="53" u="1"/>
        <n v="4" u="1"/>
      </sharedItems>
    </cacheField>
    <cacheField name="Balanço-1 $" numFmtId="171">
      <sharedItems containsSemiMixedTypes="0" containsString="0" containsNumber="1" containsInteger="1" minValue="0" maxValue="5344"/>
    </cacheField>
    <cacheField name="Balanço-2 $" numFmtId="171">
      <sharedItems containsMixedTypes="1" containsNumber="1" containsInteger="1" minValue="4627" maxValue="5287"/>
    </cacheField>
    <cacheField name="Balanço Final $" numFmtId="171">
      <sharedItems containsMixedTypes="1" containsNumber="1" containsInteger="1" minValue="4627" maxValue="5344"/>
    </cacheField>
    <cacheField name="Aporte e retirada" numFmtId="171">
      <sharedItems containsSemiMixedTypes="0" containsString="0" containsNumber="1" containsInteger="1" minValue="-500" maxValue="5000"/>
    </cacheField>
    <cacheField name="Rentabilidade %" numFmtId="10">
      <sharedItems containsMixedTypes="1" containsNumber="1" minValue="-2.231121281464531E-2" maxValue="4.7399999999999998E-2"/>
    </cacheField>
    <cacheField name="Peak" numFmtId="171">
      <sharedItems containsMixedTypes="1" containsNumber="1" containsInteger="1" minValue="4744" maxValue="5344"/>
    </cacheField>
    <cacheField name="Drawdown Value" numFmtId="171">
      <sharedItems containsMixedTypes="1" containsNumber="1" containsInteger="1" minValue="-117" maxValue="-117"/>
    </cacheField>
    <cacheField name="Drawdown %" numFmtId="10">
      <sharedItems containsMixedTypes="1" containsNumber="1" minValue="2.231121281464531E-2" maxValue="2.231121281464531E-2"/>
    </cacheField>
    <cacheField name="Dia de Drawdown" numFmtId="1">
      <sharedItems containsMixedTypes="1" containsNumber="1" containsInteger="1" minValue="1" maxValue="31" count="28">
        <s v=""/>
        <n v="1"/>
        <n v="13" u="1"/>
        <n v="5" u="1"/>
        <n v="14" u="1"/>
        <n v="15" u="1"/>
        <n v="2" u="1"/>
        <n v="18" u="1"/>
        <n v="19" u="1"/>
        <n v="7" u="1"/>
        <n v="20" u="1"/>
        <n v="21" u="1"/>
        <n v="23" u="1"/>
        <n v="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4" u="1"/>
        <n v="12" u="1"/>
      </sharedItems>
    </cacheField>
    <cacheField name="Índice" numFmtId="1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</cacheFields>
  <extLst>
    <ext xmlns:x14="http://schemas.microsoft.com/office/spreadsheetml/2009/9/main" uri="{725AE2AE-9491-48be-B2B4-4EB974FC3084}">
      <x14:pivotCacheDefinition pivotCacheId="96324315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x v="0"/>
    <d v="1899-12-30T00:00:00"/>
    <d v="1899-12-30T00:00:00"/>
    <e v="#N/A"/>
    <n v="0"/>
    <n v="0"/>
    <e v="#N/A"/>
    <e v="#N/A"/>
    <x v="0"/>
    <n v="0"/>
    <e v="#N/A"/>
  </r>
  <r>
    <x v="0"/>
    <x v="1"/>
    <d v="1899-12-30T00:00:00"/>
    <d v="1899-12-30T00:00:00"/>
    <e v="#N/A"/>
    <n v="0"/>
    <n v="0"/>
    <e v="#N/A"/>
    <e v="#N/A"/>
    <x v="0"/>
    <n v="0"/>
    <e v="#N/A"/>
  </r>
  <r>
    <x v="0"/>
    <x v="2"/>
    <d v="1899-12-30T00:00:00"/>
    <d v="1899-12-30T00:00:00"/>
    <e v="#N/A"/>
    <n v="0"/>
    <n v="0"/>
    <e v="#N/A"/>
    <e v="#N/A"/>
    <x v="0"/>
    <n v="0"/>
    <e v="#N/A"/>
  </r>
  <r>
    <x v="0"/>
    <x v="3"/>
    <d v="1899-12-30T00:00:00"/>
    <d v="1899-12-30T00:00:00"/>
    <e v="#N/A"/>
    <n v="0"/>
    <n v="0"/>
    <e v="#N/A"/>
    <e v="#N/A"/>
    <x v="0"/>
    <n v="0"/>
    <e v="#N/A"/>
  </r>
  <r>
    <x v="1"/>
    <x v="4"/>
    <d v="1899-12-30T00:00:00"/>
    <d v="1899-12-30T00:00:00"/>
    <e v="#N/A"/>
    <n v="0"/>
    <n v="0"/>
    <e v="#N/A"/>
    <e v="#N/A"/>
    <x v="0"/>
    <n v="0"/>
    <e v="#N/A"/>
  </r>
  <r>
    <x v="1"/>
    <x v="5"/>
    <d v="1899-12-30T00:00:00"/>
    <d v="1899-12-30T00:00:00"/>
    <e v="#N/A"/>
    <n v="0"/>
    <n v="0"/>
    <e v="#N/A"/>
    <e v="#N/A"/>
    <x v="0"/>
    <n v="0"/>
    <e v="#N/A"/>
  </r>
  <r>
    <x v="1"/>
    <x v="6"/>
    <d v="1899-12-30T00:00:00"/>
    <d v="1899-12-30T00:00:00"/>
    <e v="#N/A"/>
    <n v="0"/>
    <n v="0"/>
    <e v="#N/A"/>
    <e v="#N/A"/>
    <x v="0"/>
    <n v="0"/>
    <e v="#N/A"/>
  </r>
  <r>
    <x v="1"/>
    <x v="7"/>
    <d v="1899-12-30T00:00:00"/>
    <d v="1899-12-30T00:00:00"/>
    <e v="#N/A"/>
    <n v="0"/>
    <n v="0"/>
    <e v="#N/A"/>
    <e v="#N/A"/>
    <x v="0"/>
    <n v="0"/>
    <e v="#N/A"/>
  </r>
  <r>
    <x v="1"/>
    <x v="8"/>
    <d v="1899-12-30T00:00:00"/>
    <d v="1899-12-30T00:00:00"/>
    <e v="#N/A"/>
    <n v="0"/>
    <n v="0"/>
    <e v="#N/A"/>
    <e v="#N/A"/>
    <x v="0"/>
    <n v="0"/>
    <e v="#N/A"/>
  </r>
  <r>
    <x v="1"/>
    <x v="9"/>
    <d v="1899-12-30T00:00:00"/>
    <d v="1899-12-30T00:00:00"/>
    <e v="#N/A"/>
    <n v="0"/>
    <n v="0"/>
    <e v="#N/A"/>
    <e v="#N/A"/>
    <x v="0"/>
    <n v="0"/>
    <e v="#N/A"/>
  </r>
  <r>
    <x v="1"/>
    <x v="10"/>
    <d v="1899-12-30T00:00:00"/>
    <d v="1899-12-30T00:00:00"/>
    <e v="#N/A"/>
    <n v="0"/>
    <n v="0"/>
    <e v="#N/A"/>
    <e v="#N/A"/>
    <x v="0"/>
    <n v="0"/>
    <e v="#N/A"/>
  </r>
  <r>
    <x v="1"/>
    <x v="11"/>
    <d v="2021-08-30T00:00:00"/>
    <d v="2021-08-31T00:00:00"/>
    <n v="5000"/>
    <n v="5050"/>
    <n v="0"/>
    <n v="5344"/>
    <n v="294"/>
    <x v="1"/>
    <n v="0"/>
    <e v="#DIV/0!"/>
  </r>
  <r>
    <x v="1"/>
    <x v="0"/>
    <d v="2021-09-01T00:00:00"/>
    <d v="2021-09-02T00:00:00"/>
    <n v="5244"/>
    <n v="0"/>
    <n v="-600"/>
    <n v="4627"/>
    <n v="-17"/>
    <x v="2"/>
    <n v="-117"/>
    <n v="-1.4529914529914532E-3"/>
  </r>
  <r>
    <x v="1"/>
    <x v="1"/>
    <d v="1899-12-30T00:00:00"/>
    <d v="1899-12-30T00:00:00"/>
    <e v="#N/A"/>
    <n v="0"/>
    <n v="0"/>
    <e v="#N/A"/>
    <e v="#N/A"/>
    <x v="0"/>
    <n v="0"/>
    <e v="#N/A"/>
  </r>
  <r>
    <x v="1"/>
    <x v="2"/>
    <d v="1899-12-30T00:00:00"/>
    <d v="1899-12-30T00:00:00"/>
    <e v="#N/A"/>
    <n v="0"/>
    <n v="0"/>
    <e v="#N/A"/>
    <e v="#N/A"/>
    <x v="0"/>
    <n v="0"/>
    <e v="#N/A"/>
  </r>
  <r>
    <x v="1"/>
    <x v="3"/>
    <d v="1899-12-30T00:00:00"/>
    <d v="1899-12-30T00:00:00"/>
    <e v="#N/A"/>
    <n v="0"/>
    <n v="0"/>
    <e v="#N/A"/>
    <e v="#N/A"/>
    <x v="0"/>
    <n v="0"/>
    <e v="#N/A"/>
  </r>
  <r>
    <x v="2"/>
    <x v="4"/>
    <d v="1899-12-30T00:00:00"/>
    <d v="1899-12-30T00:00:00"/>
    <e v="#N/A"/>
    <n v="0"/>
    <n v="0"/>
    <e v="#N/A"/>
    <e v="#N/A"/>
    <x v="0"/>
    <n v="0"/>
    <e v="#N/A"/>
  </r>
  <r>
    <x v="2"/>
    <x v="5"/>
    <d v="1899-12-30T00:00:00"/>
    <d v="1899-12-30T00:00:00"/>
    <e v="#N/A"/>
    <n v="0"/>
    <n v="0"/>
    <e v="#N/A"/>
    <e v="#N/A"/>
    <x v="0"/>
    <n v="0"/>
    <e v="#N/A"/>
  </r>
  <r>
    <x v="2"/>
    <x v="6"/>
    <d v="1899-12-30T00:00:00"/>
    <d v="1899-12-30T00:00:00"/>
    <e v="#N/A"/>
    <n v="0"/>
    <n v="0"/>
    <e v="#N/A"/>
    <e v="#N/A"/>
    <x v="0"/>
    <n v="0"/>
    <e v="#N/A"/>
  </r>
  <r>
    <x v="2"/>
    <x v="7"/>
    <d v="1899-12-30T00:00:00"/>
    <d v="1899-12-30T00:00:00"/>
    <e v="#N/A"/>
    <n v="0"/>
    <n v="0"/>
    <e v="#N/A"/>
    <e v="#N/A"/>
    <x v="0"/>
    <n v="0"/>
    <e v="#N/A"/>
  </r>
  <r>
    <x v="2"/>
    <x v="8"/>
    <d v="1899-12-30T00:00:00"/>
    <d v="1899-12-30T00:00:00"/>
    <e v="#N/A"/>
    <n v="0"/>
    <n v="0"/>
    <e v="#N/A"/>
    <e v="#N/A"/>
    <x v="0"/>
    <n v="0"/>
    <e v="#N/A"/>
  </r>
  <r>
    <x v="2"/>
    <x v="9"/>
    <d v="1899-12-30T00:00:00"/>
    <d v="1899-12-30T00:00:00"/>
    <e v="#N/A"/>
    <n v="0"/>
    <n v="0"/>
    <e v="#N/A"/>
    <e v="#N/A"/>
    <x v="0"/>
    <n v="0"/>
    <e v="#N/A"/>
  </r>
  <r>
    <x v="2"/>
    <x v="10"/>
    <d v="1899-12-30T00:00:00"/>
    <d v="1899-12-30T00:00:00"/>
    <e v="#N/A"/>
    <n v="0"/>
    <n v="0"/>
    <e v="#N/A"/>
    <e v="#N/A"/>
    <x v="0"/>
    <n v="0"/>
    <e v="#N/A"/>
  </r>
  <r>
    <x v="2"/>
    <x v="11"/>
    <d v="1899-12-30T00:00:00"/>
    <d v="1899-12-30T00:00:00"/>
    <e v="#N/A"/>
    <n v="0"/>
    <n v="0"/>
    <e v="#N/A"/>
    <e v="#N/A"/>
    <x v="0"/>
    <n v="0"/>
    <e v="#N/A"/>
  </r>
  <r>
    <x v="2"/>
    <x v="0"/>
    <d v="1899-12-30T00:00:00"/>
    <d v="1899-12-30T00:00:00"/>
    <e v="#N/A"/>
    <n v="0"/>
    <n v="0"/>
    <e v="#N/A"/>
    <e v="#N/A"/>
    <x v="0"/>
    <n v="0"/>
    <e v="#N/A"/>
  </r>
  <r>
    <x v="2"/>
    <x v="1"/>
    <d v="1899-12-30T00:00:00"/>
    <d v="1899-12-30T00:00:00"/>
    <e v="#N/A"/>
    <n v="0"/>
    <n v="0"/>
    <e v="#N/A"/>
    <e v="#N/A"/>
    <x v="0"/>
    <n v="0"/>
    <e v="#N/A"/>
  </r>
  <r>
    <x v="2"/>
    <x v="2"/>
    <d v="1899-12-30T00:00:00"/>
    <d v="1899-12-30T00:00:00"/>
    <e v="#N/A"/>
    <n v="0"/>
    <n v="0"/>
    <e v="#N/A"/>
    <e v="#N/A"/>
    <x v="0"/>
    <n v="0"/>
    <e v="#N/A"/>
  </r>
  <r>
    <x v="2"/>
    <x v="3"/>
    <d v="1899-12-30T00:00:00"/>
    <d v="1899-12-30T00:00:00"/>
    <e v="#N/A"/>
    <n v="0"/>
    <n v="0"/>
    <e v="#N/A"/>
    <e v="#N/A"/>
    <x v="0"/>
    <n v="0"/>
    <e v="#N/A"/>
  </r>
  <r>
    <x v="3"/>
    <x v="4"/>
    <d v="1899-12-30T00:00:00"/>
    <d v="1899-12-30T00:00:00"/>
    <e v="#N/A"/>
    <n v="0"/>
    <n v="0"/>
    <e v="#N/A"/>
    <e v="#N/A"/>
    <x v="0"/>
    <n v="0"/>
    <e v="#N/A"/>
  </r>
  <r>
    <x v="3"/>
    <x v="5"/>
    <d v="1899-12-30T00:00:00"/>
    <d v="1899-12-30T00:00:00"/>
    <e v="#N/A"/>
    <n v="0"/>
    <n v="0"/>
    <e v="#N/A"/>
    <e v="#N/A"/>
    <x v="0"/>
    <n v="0"/>
    <e v="#N/A"/>
  </r>
  <r>
    <x v="3"/>
    <x v="6"/>
    <d v="1899-12-30T00:00:00"/>
    <d v="1899-12-30T00:00:00"/>
    <e v="#N/A"/>
    <n v="0"/>
    <n v="0"/>
    <e v="#N/A"/>
    <e v="#N/A"/>
    <x v="0"/>
    <n v="0"/>
    <e v="#N/A"/>
  </r>
  <r>
    <x v="3"/>
    <x v="7"/>
    <d v="1899-12-30T00:00:00"/>
    <d v="1899-12-30T00:00:00"/>
    <e v="#N/A"/>
    <n v="0"/>
    <n v="0"/>
    <e v="#N/A"/>
    <e v="#N/A"/>
    <x v="0"/>
    <n v="0"/>
    <e v="#N/A"/>
  </r>
  <r>
    <x v="3"/>
    <x v="8"/>
    <d v="1899-12-30T00:00:00"/>
    <d v="1899-12-30T00:00:00"/>
    <e v="#N/A"/>
    <n v="0"/>
    <n v="0"/>
    <e v="#N/A"/>
    <e v="#N/A"/>
    <x v="0"/>
    <n v="0"/>
    <e v="#N/A"/>
  </r>
  <r>
    <x v="3"/>
    <x v="9"/>
    <d v="1899-12-30T00:00:00"/>
    <d v="1899-12-30T00:00:00"/>
    <e v="#N/A"/>
    <n v="0"/>
    <n v="0"/>
    <e v="#N/A"/>
    <e v="#N/A"/>
    <x v="0"/>
    <n v="0"/>
    <e v="#N/A"/>
  </r>
  <r>
    <x v="3"/>
    <x v="10"/>
    <d v="1899-12-30T00:00:00"/>
    <d v="1899-12-30T00:00:00"/>
    <e v="#N/A"/>
    <n v="0"/>
    <n v="0"/>
    <e v="#N/A"/>
    <e v="#N/A"/>
    <x v="0"/>
    <n v="0"/>
    <e v="#N/A"/>
  </r>
  <r>
    <x v="3"/>
    <x v="11"/>
    <d v="1899-12-30T00:00:00"/>
    <d v="1899-12-30T00:00:00"/>
    <e v="#N/A"/>
    <n v="0"/>
    <n v="0"/>
    <e v="#N/A"/>
    <e v="#N/A"/>
    <x v="0"/>
    <n v="0"/>
    <e v="#N/A"/>
  </r>
  <r>
    <x v="3"/>
    <x v="0"/>
    <d v="1899-12-30T00:00:00"/>
    <d v="1899-12-30T00:00:00"/>
    <e v="#N/A"/>
    <n v="0"/>
    <n v="0"/>
    <e v="#N/A"/>
    <e v="#N/A"/>
    <x v="0"/>
    <n v="0"/>
    <e v="#N/A"/>
  </r>
  <r>
    <x v="3"/>
    <x v="1"/>
    <d v="1899-12-30T00:00:00"/>
    <d v="1899-12-30T00:00:00"/>
    <e v="#N/A"/>
    <n v="0"/>
    <n v="0"/>
    <e v="#N/A"/>
    <e v="#N/A"/>
    <x v="0"/>
    <n v="0"/>
    <e v="#N/A"/>
  </r>
  <r>
    <x v="3"/>
    <x v="2"/>
    <d v="1899-12-30T00:00:00"/>
    <d v="1899-12-30T00:00:00"/>
    <e v="#N/A"/>
    <n v="0"/>
    <n v="0"/>
    <e v="#N/A"/>
    <e v="#N/A"/>
    <x v="0"/>
    <n v="0"/>
    <e v="#N/A"/>
  </r>
  <r>
    <x v="3"/>
    <x v="3"/>
    <d v="1899-12-30T00:00:00"/>
    <d v="1899-12-30T00:00:00"/>
    <e v="#N/A"/>
    <n v="0"/>
    <n v="0"/>
    <e v="#N/A"/>
    <e v="#N/A"/>
    <x v="0"/>
    <n v="0"/>
    <e v="#N/A"/>
  </r>
  <r>
    <x v="4"/>
    <x v="4"/>
    <d v="1899-12-30T00:00:00"/>
    <d v="1899-12-30T00:00:00"/>
    <e v="#N/A"/>
    <n v="0"/>
    <n v="0"/>
    <e v="#N/A"/>
    <e v="#N/A"/>
    <x v="0"/>
    <n v="0"/>
    <e v="#N/A"/>
  </r>
  <r>
    <x v="4"/>
    <x v="5"/>
    <d v="1899-12-30T00:00:00"/>
    <d v="1899-12-30T00:00:00"/>
    <e v="#N/A"/>
    <n v="0"/>
    <n v="0"/>
    <e v="#N/A"/>
    <e v="#N/A"/>
    <x v="0"/>
    <n v="0"/>
    <e v="#N/A"/>
  </r>
  <r>
    <x v="4"/>
    <x v="6"/>
    <d v="1899-12-30T00:00:00"/>
    <d v="1899-12-30T00:00:00"/>
    <e v="#N/A"/>
    <n v="0"/>
    <n v="0"/>
    <e v="#N/A"/>
    <e v="#N/A"/>
    <x v="0"/>
    <n v="0"/>
    <e v="#N/A"/>
  </r>
  <r>
    <x v="4"/>
    <x v="7"/>
    <d v="1899-12-30T00:00:00"/>
    <d v="1899-12-30T00:00:00"/>
    <e v="#N/A"/>
    <n v="0"/>
    <n v="0"/>
    <e v="#N/A"/>
    <e v="#N/A"/>
    <x v="0"/>
    <n v="0"/>
    <e v="#N/A"/>
  </r>
  <r>
    <x v="4"/>
    <x v="8"/>
    <d v="1899-12-30T00:00:00"/>
    <d v="1899-12-30T00:00:00"/>
    <e v="#N/A"/>
    <n v="0"/>
    <n v="0"/>
    <e v="#N/A"/>
    <e v="#N/A"/>
    <x v="0"/>
    <n v="0"/>
    <e v="#N/A"/>
  </r>
  <r>
    <x v="4"/>
    <x v="9"/>
    <d v="1899-12-30T00:00:00"/>
    <d v="1899-12-30T00:00:00"/>
    <e v="#N/A"/>
    <n v="0"/>
    <n v="0"/>
    <e v="#N/A"/>
    <e v="#N/A"/>
    <x v="0"/>
    <n v="0"/>
    <e v="#N/A"/>
  </r>
  <r>
    <x v="4"/>
    <x v="10"/>
    <d v="1899-12-30T00:00:00"/>
    <d v="1899-12-30T00:00:00"/>
    <e v="#N/A"/>
    <n v="0"/>
    <n v="0"/>
    <e v="#N/A"/>
    <e v="#N/A"/>
    <x v="0"/>
    <n v="0"/>
    <e v="#N/A"/>
  </r>
  <r>
    <x v="4"/>
    <x v="11"/>
    <d v="1899-12-30T00:00:00"/>
    <d v="1899-12-30T00:00:00"/>
    <e v="#N/A"/>
    <n v="0"/>
    <n v="0"/>
    <e v="#N/A"/>
    <e v="#N/A"/>
    <x v="0"/>
    <n v="0"/>
    <e v="#N/A"/>
  </r>
  <r>
    <x v="4"/>
    <x v="0"/>
    <d v="1899-12-30T00:00:00"/>
    <d v="1899-12-30T00:00:00"/>
    <e v="#N/A"/>
    <n v="0"/>
    <n v="0"/>
    <e v="#N/A"/>
    <e v="#N/A"/>
    <x v="0"/>
    <n v="0"/>
    <e v="#N/A"/>
  </r>
  <r>
    <x v="4"/>
    <x v="1"/>
    <d v="1899-12-30T00:00:00"/>
    <d v="1899-12-30T00:00:00"/>
    <e v="#N/A"/>
    <n v="0"/>
    <n v="0"/>
    <e v="#N/A"/>
    <e v="#N/A"/>
    <x v="0"/>
    <n v="0"/>
    <e v="#N/A"/>
  </r>
  <r>
    <x v="4"/>
    <x v="2"/>
    <d v="1899-12-30T00:00:00"/>
    <d v="1899-12-30T00:00:00"/>
    <e v="#N/A"/>
    <n v="0"/>
    <n v="0"/>
    <e v="#N/A"/>
    <e v="#N/A"/>
    <x v="0"/>
    <n v="0"/>
    <e v="#N/A"/>
  </r>
  <r>
    <x v="4"/>
    <x v="3"/>
    <d v="1899-12-30T00:00:00"/>
    <d v="1899-12-30T00:00:00"/>
    <e v="#N/A"/>
    <n v="0"/>
    <n v="0"/>
    <e v="#N/A"/>
    <e v="#N/A"/>
    <x v="0"/>
    <n v="0"/>
    <e v="#N/A"/>
  </r>
  <r>
    <x v="5"/>
    <x v="4"/>
    <d v="1899-12-30T00:00:00"/>
    <d v="1899-12-30T00:00:00"/>
    <e v="#N/A"/>
    <n v="0"/>
    <n v="0"/>
    <e v="#N/A"/>
    <e v="#N/A"/>
    <x v="0"/>
    <n v="0"/>
    <e v="#N/A"/>
  </r>
  <r>
    <x v="5"/>
    <x v="5"/>
    <d v="1899-12-30T00:00:00"/>
    <d v="1899-12-30T00:00:00"/>
    <e v="#N/A"/>
    <n v="0"/>
    <n v="0"/>
    <e v="#N/A"/>
    <e v="#N/A"/>
    <x v="0"/>
    <n v="0"/>
    <e v="#N/A"/>
  </r>
  <r>
    <x v="5"/>
    <x v="6"/>
    <d v="1899-12-30T00:00:00"/>
    <d v="1899-12-30T00:00:00"/>
    <e v="#N/A"/>
    <n v="0"/>
    <n v="0"/>
    <e v="#N/A"/>
    <e v="#N/A"/>
    <x v="0"/>
    <n v="0"/>
    <e v="#N/A"/>
  </r>
  <r>
    <x v="5"/>
    <x v="7"/>
    <d v="1899-12-30T00:00:00"/>
    <d v="1899-12-30T00:00:00"/>
    <e v="#N/A"/>
    <n v="0"/>
    <n v="0"/>
    <e v="#N/A"/>
    <e v="#N/A"/>
    <x v="0"/>
    <n v="0"/>
    <e v="#N/A"/>
  </r>
  <r>
    <x v="5"/>
    <x v="8"/>
    <d v="1899-12-30T00:00:00"/>
    <d v="1899-12-30T00:00:00"/>
    <e v="#N/A"/>
    <n v="0"/>
    <n v="0"/>
    <e v="#N/A"/>
    <e v="#N/A"/>
    <x v="0"/>
    <n v="0"/>
    <e v="#N/A"/>
  </r>
  <r>
    <x v="5"/>
    <x v="9"/>
    <d v="1899-12-30T00:00:00"/>
    <d v="1899-12-30T00:00:00"/>
    <e v="#N/A"/>
    <n v="0"/>
    <n v="0"/>
    <e v="#N/A"/>
    <e v="#N/A"/>
    <x v="0"/>
    <n v="0"/>
    <e v="#N/A"/>
  </r>
  <r>
    <x v="5"/>
    <x v="10"/>
    <d v="1899-12-30T00:00:00"/>
    <d v="1899-12-30T00:00:00"/>
    <e v="#N/A"/>
    <n v="0"/>
    <n v="0"/>
    <e v="#N/A"/>
    <e v="#N/A"/>
    <x v="0"/>
    <n v="0"/>
    <e v="#N/A"/>
  </r>
  <r>
    <x v="5"/>
    <x v="11"/>
    <d v="1899-12-30T00:00:00"/>
    <d v="1899-12-30T00:00:00"/>
    <e v="#N/A"/>
    <n v="0"/>
    <n v="0"/>
    <e v="#N/A"/>
    <e v="#N/A"/>
    <x v="0"/>
    <n v="0"/>
    <e v="#N/A"/>
  </r>
  <r>
    <x v="5"/>
    <x v="0"/>
    <d v="1899-12-30T00:00:00"/>
    <d v="1899-12-30T00:00:00"/>
    <e v="#N/A"/>
    <n v="0"/>
    <n v="0"/>
    <e v="#N/A"/>
    <e v="#N/A"/>
    <x v="0"/>
    <n v="0"/>
    <e v="#N/A"/>
  </r>
  <r>
    <x v="5"/>
    <x v="1"/>
    <d v="1899-12-30T00:00:00"/>
    <d v="1899-12-30T00:00:00"/>
    <e v="#N/A"/>
    <n v="0"/>
    <n v="0"/>
    <e v="#N/A"/>
    <e v="#N/A"/>
    <x v="0"/>
    <n v="0"/>
    <e v="#N/A"/>
  </r>
  <r>
    <x v="5"/>
    <x v="2"/>
    <d v="1899-12-30T00:00:00"/>
    <d v="1899-12-30T00:00:00"/>
    <e v="#N/A"/>
    <n v="0"/>
    <n v="0"/>
    <e v="#N/A"/>
    <e v="#N/A"/>
    <x v="0"/>
    <n v="0"/>
    <e v="#N/A"/>
  </r>
  <r>
    <x v="5"/>
    <x v="3"/>
    <d v="1899-12-30T00:00:00"/>
    <d v="1899-12-30T00:00:00"/>
    <e v="#N/A"/>
    <n v="0"/>
    <n v="0"/>
    <e v="#N/A"/>
    <e v="#N/A"/>
    <x v="0"/>
    <n v="0"/>
    <e v="#N/A"/>
  </r>
  <r>
    <x v="6"/>
    <x v="4"/>
    <d v="1899-12-30T00:00:00"/>
    <d v="1899-12-30T00:00:00"/>
    <e v="#N/A"/>
    <n v="0"/>
    <n v="0"/>
    <e v="#N/A"/>
    <e v="#N/A"/>
    <x v="0"/>
    <n v="0"/>
    <e v="#N/A"/>
  </r>
  <r>
    <x v="6"/>
    <x v="5"/>
    <d v="1899-12-30T00:00:00"/>
    <d v="1899-12-30T00:00:00"/>
    <e v="#N/A"/>
    <n v="0"/>
    <n v="0"/>
    <e v="#N/A"/>
    <e v="#N/A"/>
    <x v="0"/>
    <n v="0"/>
    <e v="#N/A"/>
  </r>
  <r>
    <x v="6"/>
    <x v="6"/>
    <d v="1899-12-30T00:00:00"/>
    <d v="1899-12-30T00:00:00"/>
    <e v="#N/A"/>
    <n v="0"/>
    <n v="0"/>
    <e v="#N/A"/>
    <e v="#N/A"/>
    <x v="0"/>
    <n v="0"/>
    <e v="#N/A"/>
  </r>
  <r>
    <x v="6"/>
    <x v="7"/>
    <d v="1899-12-30T00:00:00"/>
    <d v="1899-12-30T00:00:00"/>
    <e v="#N/A"/>
    <n v="0"/>
    <n v="0"/>
    <e v="#N/A"/>
    <e v="#N/A"/>
    <x v="0"/>
    <n v="0"/>
    <e v="#N/A"/>
  </r>
  <r>
    <x v="6"/>
    <x v="8"/>
    <d v="1899-12-30T00:00:00"/>
    <d v="1899-12-30T00:00:00"/>
    <e v="#N/A"/>
    <n v="0"/>
    <n v="0"/>
    <e v="#N/A"/>
    <e v="#N/A"/>
    <x v="0"/>
    <n v="0"/>
    <e v="#N/A"/>
  </r>
  <r>
    <x v="6"/>
    <x v="9"/>
    <d v="1899-12-30T00:00:00"/>
    <d v="1899-12-30T00:00:00"/>
    <e v="#N/A"/>
    <n v="0"/>
    <n v="0"/>
    <e v="#N/A"/>
    <e v="#N/A"/>
    <x v="0"/>
    <n v="0"/>
    <e v="#N/A"/>
  </r>
  <r>
    <x v="6"/>
    <x v="10"/>
    <d v="1899-12-30T00:00:00"/>
    <d v="1899-12-30T00:00:00"/>
    <e v="#N/A"/>
    <n v="0"/>
    <n v="0"/>
    <e v="#N/A"/>
    <e v="#N/A"/>
    <x v="0"/>
    <n v="0"/>
    <e v="#N/A"/>
  </r>
  <r>
    <x v="6"/>
    <x v="11"/>
    <d v="1899-12-30T00:00:00"/>
    <d v="1899-12-30T00:00:00"/>
    <e v="#N/A"/>
    <n v="0"/>
    <n v="0"/>
    <e v="#N/A"/>
    <e v="#N/A"/>
    <x v="0"/>
    <n v="0"/>
    <e v="#N/A"/>
  </r>
  <r>
    <x v="6"/>
    <x v="0"/>
    <d v="1899-12-30T00:00:00"/>
    <d v="1899-12-30T00:00:00"/>
    <e v="#N/A"/>
    <n v="0"/>
    <n v="0"/>
    <e v="#N/A"/>
    <e v="#N/A"/>
    <x v="0"/>
    <n v="0"/>
    <e v="#N/A"/>
  </r>
  <r>
    <x v="6"/>
    <x v="1"/>
    <d v="1899-12-30T00:00:00"/>
    <d v="1899-12-30T00:00:00"/>
    <e v="#N/A"/>
    <n v="0"/>
    <n v="0"/>
    <e v="#N/A"/>
    <e v="#N/A"/>
    <x v="0"/>
    <n v="0"/>
    <e v="#N/A"/>
  </r>
  <r>
    <x v="6"/>
    <x v="2"/>
    <d v="1899-12-30T00:00:00"/>
    <d v="1899-12-30T00:00:00"/>
    <e v="#N/A"/>
    <n v="0"/>
    <n v="0"/>
    <e v="#N/A"/>
    <e v="#N/A"/>
    <x v="0"/>
    <n v="0"/>
    <e v="#N/A"/>
  </r>
  <r>
    <x v="6"/>
    <x v="3"/>
    <d v="1899-12-30T00:00:00"/>
    <d v="1899-12-30T00:00:00"/>
    <e v="#N/A"/>
    <n v="0"/>
    <n v="0"/>
    <e v="#N/A"/>
    <e v="#N/A"/>
    <x v="0"/>
    <n v="0"/>
    <e v="#N/A"/>
  </r>
  <r>
    <x v="7"/>
    <x v="4"/>
    <d v="1899-12-30T00:00:00"/>
    <d v="1899-12-30T00:00:00"/>
    <e v="#N/A"/>
    <n v="0"/>
    <n v="0"/>
    <e v="#N/A"/>
    <e v="#N/A"/>
    <x v="0"/>
    <n v="0"/>
    <e v="#N/A"/>
  </r>
  <r>
    <x v="7"/>
    <x v="5"/>
    <d v="1899-12-30T00:00:00"/>
    <d v="1899-12-30T00:00:00"/>
    <e v="#N/A"/>
    <n v="0"/>
    <n v="0"/>
    <e v="#N/A"/>
    <e v="#N/A"/>
    <x v="0"/>
    <n v="0"/>
    <e v="#N/A"/>
  </r>
  <r>
    <x v="7"/>
    <x v="6"/>
    <d v="1899-12-30T00:00:00"/>
    <d v="1899-12-30T00:00:00"/>
    <e v="#N/A"/>
    <n v="0"/>
    <n v="0"/>
    <e v="#N/A"/>
    <e v="#N/A"/>
    <x v="0"/>
    <n v="0"/>
    <e v="#N/A"/>
  </r>
  <r>
    <x v="7"/>
    <x v="7"/>
    <d v="1899-12-30T00:00:00"/>
    <d v="1899-12-30T00:00:00"/>
    <e v="#N/A"/>
    <n v="0"/>
    <n v="0"/>
    <e v="#N/A"/>
    <e v="#N/A"/>
    <x v="0"/>
    <n v="0"/>
    <e v="#N/A"/>
  </r>
  <r>
    <x v="7"/>
    <x v="8"/>
    <d v="1899-12-30T00:00:00"/>
    <d v="1899-12-30T00:00:00"/>
    <e v="#N/A"/>
    <n v="0"/>
    <n v="0"/>
    <e v="#N/A"/>
    <e v="#N/A"/>
    <x v="0"/>
    <n v="0"/>
    <e v="#N/A"/>
  </r>
  <r>
    <x v="7"/>
    <x v="9"/>
    <d v="1899-12-30T00:00:00"/>
    <d v="1899-12-30T00:00:00"/>
    <e v="#N/A"/>
    <n v="0"/>
    <n v="0"/>
    <e v="#N/A"/>
    <e v="#N/A"/>
    <x v="0"/>
    <n v="0"/>
    <e v="#N/A"/>
  </r>
  <r>
    <x v="7"/>
    <x v="10"/>
    <d v="1899-12-30T00:00:00"/>
    <d v="1899-12-30T00:00:00"/>
    <e v="#N/A"/>
    <n v="0"/>
    <n v="0"/>
    <e v="#N/A"/>
    <e v="#N/A"/>
    <x v="0"/>
    <n v="0"/>
    <e v="#N/A"/>
  </r>
  <r>
    <x v="7"/>
    <x v="11"/>
    <d v="1899-12-30T00:00:00"/>
    <d v="1899-12-30T00:00:00"/>
    <e v="#N/A"/>
    <n v="0"/>
    <n v="0"/>
    <e v="#N/A"/>
    <e v="#N/A"/>
    <x v="0"/>
    <n v="0"/>
    <e v="#N/A"/>
  </r>
  <r>
    <x v="7"/>
    <x v="0"/>
    <d v="1899-12-30T00:00:00"/>
    <d v="1899-12-30T00:00:00"/>
    <e v="#N/A"/>
    <n v="0"/>
    <n v="0"/>
    <e v="#N/A"/>
    <e v="#N/A"/>
    <x v="0"/>
    <n v="0"/>
    <e v="#N/A"/>
  </r>
  <r>
    <x v="7"/>
    <x v="1"/>
    <d v="1899-12-30T00:00:00"/>
    <d v="1899-12-30T00:00:00"/>
    <e v="#N/A"/>
    <n v="0"/>
    <n v="0"/>
    <e v="#N/A"/>
    <e v="#N/A"/>
    <x v="0"/>
    <n v="0"/>
    <e v="#N/A"/>
  </r>
  <r>
    <x v="7"/>
    <x v="2"/>
    <d v="1899-12-30T00:00:00"/>
    <d v="1899-12-30T00:00:00"/>
    <e v="#N/A"/>
    <n v="0"/>
    <n v="0"/>
    <e v="#N/A"/>
    <e v="#N/A"/>
    <x v="0"/>
    <n v="0"/>
    <e v="#N/A"/>
  </r>
  <r>
    <x v="7"/>
    <x v="3"/>
    <d v="1899-12-30T00:00:00"/>
    <d v="1899-12-30T00:00:00"/>
    <e v="#N/A"/>
    <n v="0"/>
    <n v="0"/>
    <e v="#N/A"/>
    <e v="#N/A"/>
    <x v="0"/>
    <n v="0"/>
    <e v="#N/A"/>
  </r>
  <r>
    <x v="8"/>
    <x v="4"/>
    <d v="1899-12-30T00:00:00"/>
    <d v="1899-12-30T00:00:00"/>
    <e v="#N/A"/>
    <n v="0"/>
    <n v="0"/>
    <e v="#N/A"/>
    <e v="#N/A"/>
    <x v="0"/>
    <n v="0"/>
    <e v="#N/A"/>
  </r>
  <r>
    <x v="8"/>
    <x v="5"/>
    <d v="1899-12-30T00:00:00"/>
    <d v="1899-12-30T00:00:00"/>
    <e v="#N/A"/>
    <n v="0"/>
    <n v="0"/>
    <e v="#N/A"/>
    <e v="#N/A"/>
    <x v="0"/>
    <n v="0"/>
    <e v="#N/A"/>
  </r>
  <r>
    <x v="8"/>
    <x v="6"/>
    <d v="1899-12-30T00:00:00"/>
    <d v="1899-12-30T00:00:00"/>
    <e v="#N/A"/>
    <n v="0"/>
    <n v="0"/>
    <e v="#N/A"/>
    <e v="#N/A"/>
    <x v="0"/>
    <n v="0"/>
    <e v="#N/A"/>
  </r>
  <r>
    <x v="8"/>
    <x v="7"/>
    <d v="1899-12-30T00:00:00"/>
    <d v="1899-12-30T00:00:00"/>
    <e v="#N/A"/>
    <n v="0"/>
    <n v="0"/>
    <e v="#N/A"/>
    <e v="#N/A"/>
    <x v="0"/>
    <n v="0"/>
    <e v="#N/A"/>
  </r>
  <r>
    <x v="8"/>
    <x v="8"/>
    <d v="1899-12-30T00:00:00"/>
    <d v="1899-12-30T00:00:00"/>
    <e v="#N/A"/>
    <n v="0"/>
    <n v="0"/>
    <e v="#N/A"/>
    <e v="#N/A"/>
    <x v="0"/>
    <n v="0"/>
    <e v="#N/A"/>
  </r>
  <r>
    <x v="8"/>
    <x v="9"/>
    <d v="1899-12-30T00:00:00"/>
    <d v="1899-12-30T00:00:00"/>
    <e v="#N/A"/>
    <n v="0"/>
    <n v="0"/>
    <e v="#N/A"/>
    <e v="#N/A"/>
    <x v="0"/>
    <n v="0"/>
    <e v="#N/A"/>
  </r>
  <r>
    <x v="8"/>
    <x v="10"/>
    <d v="1899-12-30T00:00:00"/>
    <d v="1899-12-30T00:00:00"/>
    <e v="#N/A"/>
    <n v="0"/>
    <n v="0"/>
    <e v="#N/A"/>
    <e v="#N/A"/>
    <x v="0"/>
    <n v="0"/>
    <e v="#N/A"/>
  </r>
  <r>
    <x v="8"/>
    <x v="11"/>
    <d v="1899-12-30T00:00:00"/>
    <d v="1899-12-30T00:00:00"/>
    <e v="#N/A"/>
    <n v="0"/>
    <n v="0"/>
    <e v="#N/A"/>
    <e v="#N/A"/>
    <x v="0"/>
    <n v="0"/>
    <e v="#N/A"/>
  </r>
  <r>
    <x v="8"/>
    <x v="0"/>
    <d v="1899-12-30T00:00:00"/>
    <d v="1899-12-30T00:00:00"/>
    <e v="#N/A"/>
    <n v="0"/>
    <n v="0"/>
    <e v="#N/A"/>
    <e v="#N/A"/>
    <x v="0"/>
    <n v="0"/>
    <e v="#N/A"/>
  </r>
  <r>
    <x v="8"/>
    <x v="1"/>
    <d v="1899-12-30T00:00:00"/>
    <d v="1899-12-30T00:00:00"/>
    <e v="#N/A"/>
    <n v="0"/>
    <n v="0"/>
    <e v="#N/A"/>
    <e v="#N/A"/>
    <x v="0"/>
    <n v="0"/>
    <e v="#N/A"/>
  </r>
  <r>
    <x v="8"/>
    <x v="2"/>
    <d v="1899-12-30T00:00:00"/>
    <d v="1899-12-30T00:00:00"/>
    <e v="#N/A"/>
    <n v="0"/>
    <n v="0"/>
    <e v="#N/A"/>
    <e v="#N/A"/>
    <x v="0"/>
    <n v="0"/>
    <e v="#N/A"/>
  </r>
  <r>
    <x v="8"/>
    <x v="3"/>
    <d v="1899-12-30T00:00:00"/>
    <d v="1899-12-30T00:00:00"/>
    <e v="#N/A"/>
    <n v="0"/>
    <n v="0"/>
    <e v="#N/A"/>
    <e v="#N/A"/>
    <x v="0"/>
    <n v="0"/>
    <e v="#N/A"/>
  </r>
  <r>
    <x v="9"/>
    <x v="4"/>
    <d v="1899-12-30T00:00:00"/>
    <d v="1899-12-30T00:00:00"/>
    <e v="#N/A"/>
    <n v="0"/>
    <n v="0"/>
    <e v="#N/A"/>
    <e v="#N/A"/>
    <x v="0"/>
    <n v="0"/>
    <e v="#N/A"/>
  </r>
  <r>
    <x v="9"/>
    <x v="5"/>
    <d v="1899-12-30T00:00:00"/>
    <d v="1899-12-30T00:00:00"/>
    <e v="#N/A"/>
    <n v="0"/>
    <n v="0"/>
    <e v="#N/A"/>
    <e v="#N/A"/>
    <x v="0"/>
    <n v="0"/>
    <e v="#N/A"/>
  </r>
  <r>
    <x v="9"/>
    <x v="6"/>
    <d v="1899-12-30T00:00:00"/>
    <d v="1899-12-30T00:00:00"/>
    <e v="#N/A"/>
    <n v="0"/>
    <n v="0"/>
    <e v="#N/A"/>
    <e v="#N/A"/>
    <x v="0"/>
    <n v="0"/>
    <e v="#N/A"/>
  </r>
  <r>
    <x v="9"/>
    <x v="7"/>
    <d v="1899-12-30T00:00:00"/>
    <d v="1899-12-30T00:00:00"/>
    <e v="#N/A"/>
    <n v="0"/>
    <n v="0"/>
    <e v="#N/A"/>
    <e v="#N/A"/>
    <x v="0"/>
    <n v="0"/>
    <e v="#N/A"/>
  </r>
  <r>
    <x v="9"/>
    <x v="8"/>
    <d v="1899-12-30T00:00:00"/>
    <d v="1899-12-30T00:00:00"/>
    <e v="#N/A"/>
    <n v="0"/>
    <n v="0"/>
    <e v="#N/A"/>
    <e v="#N/A"/>
    <x v="0"/>
    <n v="0"/>
    <e v="#N/A"/>
  </r>
  <r>
    <x v="9"/>
    <x v="9"/>
    <d v="1899-12-30T00:00:00"/>
    <d v="1899-12-30T00:00:00"/>
    <e v="#N/A"/>
    <n v="0"/>
    <n v="0"/>
    <e v="#N/A"/>
    <e v="#N/A"/>
    <x v="0"/>
    <n v="0"/>
    <e v="#N/A"/>
  </r>
  <r>
    <x v="9"/>
    <x v="10"/>
    <d v="1899-12-30T00:00:00"/>
    <d v="1899-12-30T00:00:00"/>
    <e v="#N/A"/>
    <n v="0"/>
    <n v="0"/>
    <e v="#N/A"/>
    <e v="#N/A"/>
    <x v="0"/>
    <n v="0"/>
    <e v="#N/A"/>
  </r>
  <r>
    <x v="9"/>
    <x v="11"/>
    <d v="1899-12-30T00:00:00"/>
    <d v="1899-12-30T00:00:00"/>
    <e v="#N/A"/>
    <n v="0"/>
    <n v="0"/>
    <e v="#N/A"/>
    <e v="#N/A"/>
    <x v="0"/>
    <n v="0"/>
    <e v="#N/A"/>
  </r>
  <r>
    <x v="9"/>
    <x v="0"/>
    <d v="1899-12-30T00:00:00"/>
    <d v="1899-12-30T00:00:00"/>
    <e v="#N/A"/>
    <n v="0"/>
    <n v="0"/>
    <e v="#N/A"/>
    <e v="#N/A"/>
    <x v="0"/>
    <n v="0"/>
    <e v="#N/A"/>
  </r>
  <r>
    <x v="9"/>
    <x v="1"/>
    <d v="1899-12-30T00:00:00"/>
    <d v="1899-12-30T00:00:00"/>
    <e v="#N/A"/>
    <n v="0"/>
    <n v="0"/>
    <e v="#N/A"/>
    <e v="#N/A"/>
    <x v="0"/>
    <n v="0"/>
    <e v="#N/A"/>
  </r>
  <r>
    <x v="9"/>
    <x v="2"/>
    <d v="1899-12-30T00:00:00"/>
    <d v="1899-12-30T00:00:00"/>
    <e v="#N/A"/>
    <n v="0"/>
    <n v="0"/>
    <e v="#N/A"/>
    <e v="#N/A"/>
    <x v="0"/>
    <n v="0"/>
    <e v="#N/A"/>
  </r>
  <r>
    <x v="9"/>
    <x v="3"/>
    <d v="1899-12-30T00:00:00"/>
    <d v="1899-12-30T00:00:00"/>
    <e v="#N/A"/>
    <n v="0"/>
    <n v="0"/>
    <e v="#N/A"/>
    <e v="#N/A"/>
    <x v="0"/>
    <n v="0"/>
    <e v="#N/A"/>
  </r>
  <r>
    <x v="10"/>
    <x v="4"/>
    <d v="1899-12-30T00:00:00"/>
    <d v="1899-12-30T00:00:00"/>
    <e v="#N/A"/>
    <n v="0"/>
    <n v="0"/>
    <e v="#N/A"/>
    <e v="#N/A"/>
    <x v="0"/>
    <n v="0"/>
    <e v="#N/A"/>
  </r>
  <r>
    <x v="10"/>
    <x v="5"/>
    <d v="1899-12-30T00:00:00"/>
    <d v="1899-12-30T00:00:00"/>
    <e v="#N/A"/>
    <n v="0"/>
    <n v="0"/>
    <e v="#N/A"/>
    <e v="#N/A"/>
    <x v="0"/>
    <n v="0"/>
    <e v="#N/A"/>
  </r>
  <r>
    <x v="10"/>
    <x v="6"/>
    <d v="1899-12-30T00:00:00"/>
    <d v="1899-12-30T00:00:00"/>
    <e v="#N/A"/>
    <n v="0"/>
    <n v="0"/>
    <e v="#N/A"/>
    <e v="#N/A"/>
    <x v="0"/>
    <n v="0"/>
    <e v="#N/A"/>
  </r>
  <r>
    <x v="10"/>
    <x v="7"/>
    <d v="1899-12-30T00:00:00"/>
    <d v="1899-12-30T00:00:00"/>
    <e v="#N/A"/>
    <n v="0"/>
    <n v="0"/>
    <e v="#N/A"/>
    <e v="#N/A"/>
    <x v="0"/>
    <n v="0"/>
    <e v="#N/A"/>
  </r>
  <r>
    <x v="10"/>
    <x v="8"/>
    <d v="1899-12-30T00:00:00"/>
    <d v="1899-12-30T00:00:00"/>
    <e v="#N/A"/>
    <n v="0"/>
    <n v="0"/>
    <e v="#N/A"/>
    <e v="#N/A"/>
    <x v="0"/>
    <n v="0"/>
    <e v="#N/A"/>
  </r>
  <r>
    <x v="10"/>
    <x v="9"/>
    <d v="1899-12-30T00:00:00"/>
    <d v="1899-12-30T00:00:00"/>
    <e v="#N/A"/>
    <n v="0"/>
    <n v="0"/>
    <e v="#N/A"/>
    <e v="#N/A"/>
    <x v="0"/>
    <n v="0"/>
    <e v="#N/A"/>
  </r>
  <r>
    <x v="10"/>
    <x v="10"/>
    <d v="1899-12-30T00:00:00"/>
    <d v="1899-12-30T00:00:00"/>
    <e v="#N/A"/>
    <n v="0"/>
    <n v="0"/>
    <e v="#N/A"/>
    <e v="#N/A"/>
    <x v="0"/>
    <n v="0"/>
    <e v="#N/A"/>
  </r>
  <r>
    <x v="10"/>
    <x v="11"/>
    <d v="1899-12-30T00:00:00"/>
    <d v="1899-12-30T00:00:00"/>
    <e v="#N/A"/>
    <n v="0"/>
    <n v="0"/>
    <e v="#N/A"/>
    <e v="#N/A"/>
    <x v="0"/>
    <n v="0"/>
    <e v="#N/A"/>
  </r>
  <r>
    <x v="10"/>
    <x v="0"/>
    <d v="1899-12-30T00:00:00"/>
    <d v="1899-12-30T00:00:00"/>
    <e v="#N/A"/>
    <n v="0"/>
    <n v="0"/>
    <e v="#N/A"/>
    <e v="#N/A"/>
    <x v="0"/>
    <n v="0"/>
    <e v="#N/A"/>
  </r>
  <r>
    <x v="10"/>
    <x v="1"/>
    <d v="1899-12-30T00:00:00"/>
    <d v="1899-12-30T00:00:00"/>
    <e v="#N/A"/>
    <n v="0"/>
    <n v="0"/>
    <e v="#N/A"/>
    <e v="#N/A"/>
    <x v="0"/>
    <n v="0"/>
    <e v="#N/A"/>
  </r>
  <r>
    <x v="10"/>
    <x v="2"/>
    <d v="1899-12-30T00:00:00"/>
    <d v="1899-12-30T00:00:00"/>
    <e v="#N/A"/>
    <n v="0"/>
    <n v="0"/>
    <e v="#N/A"/>
    <e v="#N/A"/>
    <x v="0"/>
    <n v="0"/>
    <e v="#N/A"/>
  </r>
  <r>
    <x v="10"/>
    <x v="3"/>
    <d v="1899-12-30T00:00:00"/>
    <d v="1899-12-30T00:00:00"/>
    <e v="#N/A"/>
    <n v="0"/>
    <n v="0"/>
    <e v="#N/A"/>
    <e v="#N/A"/>
    <x v="0"/>
    <n v="0"/>
    <e v="#N/A"/>
  </r>
  <r>
    <x v="11"/>
    <x v="4"/>
    <d v="1899-12-30T00:00:00"/>
    <d v="1899-12-30T00:00:00"/>
    <e v="#N/A"/>
    <n v="0"/>
    <n v="0"/>
    <e v="#N/A"/>
    <e v="#N/A"/>
    <x v="0"/>
    <n v="0"/>
    <e v="#N/A"/>
  </r>
  <r>
    <x v="11"/>
    <x v="5"/>
    <d v="1899-12-30T00:00:00"/>
    <d v="1899-12-30T00:00:00"/>
    <e v="#N/A"/>
    <n v="0"/>
    <n v="0"/>
    <e v="#N/A"/>
    <e v="#N/A"/>
    <x v="0"/>
    <n v="0"/>
    <e v="#N/A"/>
  </r>
  <r>
    <x v="11"/>
    <x v="6"/>
    <d v="1899-12-30T00:00:00"/>
    <d v="1899-12-30T00:00:00"/>
    <e v="#N/A"/>
    <n v="0"/>
    <n v="0"/>
    <e v="#N/A"/>
    <e v="#N/A"/>
    <x v="0"/>
    <n v="0"/>
    <e v="#N/A"/>
  </r>
  <r>
    <x v="11"/>
    <x v="7"/>
    <d v="1899-12-30T00:00:00"/>
    <d v="1899-12-30T00:00:00"/>
    <e v="#N/A"/>
    <n v="0"/>
    <n v="0"/>
    <e v="#N/A"/>
    <e v="#N/A"/>
    <x v="0"/>
    <n v="0"/>
    <e v="#N/A"/>
  </r>
  <r>
    <x v="11"/>
    <x v="8"/>
    <d v="1899-12-30T00:00:00"/>
    <d v="1899-12-30T00:00:00"/>
    <e v="#N/A"/>
    <n v="0"/>
    <n v="0"/>
    <e v="#N/A"/>
    <e v="#N/A"/>
    <x v="0"/>
    <n v="0"/>
    <e v="#N/A"/>
  </r>
  <r>
    <x v="11"/>
    <x v="9"/>
    <d v="1899-12-30T00:00:00"/>
    <d v="1899-12-30T00:00:00"/>
    <e v="#N/A"/>
    <n v="0"/>
    <n v="0"/>
    <e v="#N/A"/>
    <e v="#N/A"/>
    <x v="0"/>
    <n v="0"/>
    <e v="#N/A"/>
  </r>
  <r>
    <x v="11"/>
    <x v="10"/>
    <d v="1899-12-30T00:00:00"/>
    <d v="1899-12-30T00:00:00"/>
    <e v="#N/A"/>
    <n v="0"/>
    <n v="0"/>
    <e v="#N/A"/>
    <e v="#N/A"/>
    <x v="0"/>
    <n v="0"/>
    <e v="#N/A"/>
  </r>
  <r>
    <x v="11"/>
    <x v="11"/>
    <d v="1899-12-30T00:00:00"/>
    <d v="1899-12-30T00:00:00"/>
    <e v="#N/A"/>
    <n v="0"/>
    <n v="0"/>
    <e v="#N/A"/>
    <e v="#N/A"/>
    <x v="0"/>
    <n v="0"/>
    <e v="#N/A"/>
  </r>
  <r>
    <x v="11"/>
    <x v="0"/>
    <d v="1899-12-30T00:00:00"/>
    <d v="1899-12-30T00:00:00"/>
    <e v="#N/A"/>
    <n v="0"/>
    <n v="0"/>
    <e v="#N/A"/>
    <e v="#N/A"/>
    <x v="0"/>
    <n v="0"/>
    <e v="#N/A"/>
  </r>
  <r>
    <x v="11"/>
    <x v="1"/>
    <d v="1899-12-30T00:00:00"/>
    <d v="1899-12-30T00:00:00"/>
    <e v="#N/A"/>
    <n v="0"/>
    <n v="0"/>
    <e v="#N/A"/>
    <e v="#N/A"/>
    <x v="0"/>
    <n v="0"/>
    <e v="#N/A"/>
  </r>
  <r>
    <x v="11"/>
    <x v="2"/>
    <d v="1899-12-30T00:00:00"/>
    <d v="1899-12-30T00:00:00"/>
    <e v="#N/A"/>
    <n v="0"/>
    <n v="0"/>
    <e v="#N/A"/>
    <e v="#N/A"/>
    <x v="0"/>
    <n v="0"/>
    <e v="#N/A"/>
  </r>
  <r>
    <x v="11"/>
    <x v="3"/>
    <d v="1899-12-30T00:00:00"/>
    <d v="1899-12-30T00:00:00"/>
    <e v="#N/A"/>
    <n v="0"/>
    <n v="0"/>
    <e v="#N/A"/>
    <e v="#N/A"/>
    <x v="0"/>
    <n v="0"/>
    <e v="#N/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d v="2021-08-30T00:00:00"/>
    <x v="0"/>
    <x v="0"/>
    <s v="Scalping"/>
    <x v="0"/>
    <s v="0.10"/>
    <n v="0"/>
    <n v="5000"/>
    <n v="237"/>
    <x v="0"/>
    <s v="Fechado"/>
    <s v="Compra realizada no rompimento, retração e continuação de uma resistência do gráfico de 1 hora, deixando um candle de força compradora com aumento de volume, estava me sentindo confiante."/>
    <x v="0"/>
    <x v="0"/>
    <x v="0"/>
    <x v="0"/>
    <n v="0"/>
    <n v="5000"/>
    <n v="5237"/>
    <n v="5000"/>
    <n v="4.7399999999999998E-2"/>
    <n v="5237"/>
    <s v=""/>
    <s v=""/>
    <x v="0"/>
    <x v="0"/>
  </r>
  <r>
    <d v="2021-08-31T00:00:00"/>
    <x v="1"/>
    <x v="0"/>
    <s v="Day Trader"/>
    <x v="0"/>
    <s v="0.10"/>
    <n v="5237"/>
    <n v="50"/>
    <n v="57"/>
    <x v="0"/>
    <s v="Fechado"/>
    <m/>
    <x v="1"/>
    <x v="0"/>
    <x v="0"/>
    <x v="0"/>
    <n v="5237"/>
    <n v="5287"/>
    <n v="5344"/>
    <n v="50"/>
    <n v="1.0781161339133724E-2"/>
    <n v="5344"/>
    <s v=""/>
    <s v=""/>
    <x v="0"/>
    <x v="1"/>
  </r>
  <r>
    <d v="2021-09-01T00:00:00"/>
    <x v="2"/>
    <x v="1"/>
    <s v="Scalping"/>
    <x v="1"/>
    <s v="0.20"/>
    <n v="5344"/>
    <n v="-100"/>
    <n v="-117"/>
    <x v="1"/>
    <s v="Fechado"/>
    <m/>
    <x v="2"/>
    <x v="1"/>
    <x v="0"/>
    <x v="0"/>
    <n v="5344"/>
    <n v="5244"/>
    <n v="5127"/>
    <n v="-100"/>
    <n v="-2.231121281464531E-2"/>
    <n v="5244"/>
    <n v="-117"/>
    <n v="2.231121281464531E-2"/>
    <x v="1"/>
    <x v="2"/>
  </r>
  <r>
    <d v="2021-09-02T00:00:00"/>
    <x v="3"/>
    <x v="1"/>
    <s v="Swing Trader"/>
    <x v="2"/>
    <s v="0.15"/>
    <n v="5127"/>
    <n v="-500"/>
    <n v="0"/>
    <x v="2"/>
    <s v="Fechado"/>
    <m/>
    <x v="3"/>
    <x v="1"/>
    <x v="0"/>
    <x v="0"/>
    <n v="5127"/>
    <n v="4627"/>
    <n v="4627"/>
    <n v="-500"/>
    <n v="0"/>
    <n v="4744"/>
    <s v=""/>
    <s v=""/>
    <x v="0"/>
    <x v="3"/>
  </r>
  <r>
    <m/>
    <x v="4"/>
    <x v="2"/>
    <m/>
    <x v="3"/>
    <m/>
    <s v=""/>
    <m/>
    <m/>
    <x v="3"/>
    <m/>
    <m/>
    <x v="4"/>
    <x v="2"/>
    <x v="1"/>
    <x v="1"/>
    <n v="4627"/>
    <e v="#VALUE!"/>
    <e v="#VALUE!"/>
    <n v="0"/>
    <e v="#VALUE!"/>
    <e v="#VALUE!"/>
    <s v=""/>
    <s v=""/>
    <x v="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5000000}" name="Tabela dinâmica3" cacheId="71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3">
  <location ref="J6:K16" firstHeaderRow="1" firstDataRow="1" firstDataCol="1" rowPageCount="3" colPageCount="1"/>
  <pivotFields count="26">
    <pivotField numFmtId="14" showAll="0"/>
    <pivotField axis="axisPage" multipleItemSelectionAllowed="1" showAll="0">
      <items count="16">
        <item m="1" x="10"/>
        <item x="0"/>
        <item m="1" x="9"/>
        <item m="1" x="8"/>
        <item m="1" x="7"/>
        <item m="1" x="5"/>
        <item x="4"/>
        <item m="1" x="6"/>
        <item m="1" x="13"/>
        <item m="1" x="12"/>
        <item m="1" x="14"/>
        <item x="3"/>
        <item m="1" x="11"/>
        <item x="1"/>
        <item x="2"/>
        <item t="default"/>
      </items>
    </pivotField>
    <pivotField axis="axisPage" multipleItemSelectionAllowed="1" showAll="0">
      <items count="5">
        <item m="1" x="3"/>
        <item x="0"/>
        <item x="1"/>
        <item x="2"/>
        <item t="default"/>
      </items>
    </pivotField>
    <pivotField showAll="0"/>
    <pivotField axis="axisPage" showAll="0">
      <items count="10">
        <item m="1" x="4"/>
        <item m="1" x="8"/>
        <item m="1" x="7"/>
        <item x="2"/>
        <item m="1" x="5"/>
        <item m="1" x="6"/>
        <item x="0"/>
        <item x="1"/>
        <item x="3"/>
        <item t="default"/>
      </items>
    </pivotField>
    <pivotField numFmtId="2" showAll="0"/>
    <pivotField numFmtId="166" showAll="0"/>
    <pivotField numFmtId="166" showAll="0"/>
    <pivotField numFmtId="166" showAll="0"/>
    <pivotField showAll="0"/>
    <pivotField showAll="0"/>
    <pivotField showAll="0"/>
    <pivotField numFmtId="1" showAll="0"/>
    <pivotField axis="axisRow" numFmtId="1" showAll="0">
      <items count="9">
        <item x="2"/>
        <item m="1" x="5"/>
        <item m="1" x="6"/>
        <item m="1" x="7"/>
        <item m="1" x="3"/>
        <item m="1" x="4"/>
        <item x="0"/>
        <item x="1"/>
        <item t="default"/>
      </items>
    </pivotField>
    <pivotField axis="axisRow" numFmtId="1" showAll="0" sortType="ascending">
      <items count="4">
        <item x="1"/>
        <item m="1" x="2"/>
        <item x="0"/>
        <item t="default"/>
      </items>
    </pivotField>
    <pivotField numFmtId="1" showAll="0">
      <items count="20">
        <item x="1"/>
        <item m="1" x="10"/>
        <item m="1" x="4"/>
        <item m="1" x="11"/>
        <item m="1" x="18"/>
        <item m="1" x="2"/>
        <item m="1" x="6"/>
        <item m="1" x="13"/>
        <item x="0"/>
        <item m="1" x="3"/>
        <item m="1" x="12"/>
        <item m="1" x="5"/>
        <item m="1" x="14"/>
        <item m="1" x="7"/>
        <item m="1" x="15"/>
        <item m="1" x="8"/>
        <item m="1" x="16"/>
        <item m="1" x="9"/>
        <item m="1" x="17"/>
        <item t="default"/>
      </items>
    </pivotField>
    <pivotField numFmtId="166" showAll="0"/>
    <pivotField numFmtId="166" showAll="0"/>
    <pivotField numFmtId="166" showAll="0"/>
    <pivotField numFmtId="166" showAll="0"/>
    <pivotField numFmtId="10" showAll="0"/>
    <pivotField numFmtId="166" showAll="0"/>
    <pivotField showAll="0"/>
    <pivotField dataField="1" showAll="0"/>
    <pivotField axis="axisRow" showAll="0">
      <items count="29">
        <item x="1"/>
        <item m="1" x="13"/>
        <item m="1" x="26"/>
        <item m="1" x="3"/>
        <item m="1" x="9"/>
        <item m="1" x="14"/>
        <item m="1" x="17"/>
        <item m="1" x="20"/>
        <item m="1" x="23"/>
        <item m="1" x="27"/>
        <item m="1" x="2"/>
        <item m="1" x="4"/>
        <item m="1" x="5"/>
        <item m="1" x="7"/>
        <item m="1" x="8"/>
        <item m="1" x="10"/>
        <item m="1" x="12"/>
        <item m="1" x="15"/>
        <item m="1" x="16"/>
        <item m="1" x="18"/>
        <item m="1" x="19"/>
        <item m="1" x="21"/>
        <item m="1" x="22"/>
        <item m="1" x="24"/>
        <item m="1" x="25"/>
        <item m="1" x="6"/>
        <item m="1" x="11"/>
        <item x="0"/>
        <item t="default"/>
      </items>
    </pivotField>
    <pivotField numFmtId="1" showAll="0"/>
  </pivotFields>
  <rowFields count="3">
    <field x="14"/>
    <field x="13"/>
    <field x="24"/>
  </rowFields>
  <rowItems count="10">
    <i>
      <x/>
    </i>
    <i r="1">
      <x/>
    </i>
    <i r="2">
      <x v="27"/>
    </i>
    <i>
      <x v="2"/>
    </i>
    <i r="1">
      <x v="6"/>
    </i>
    <i r="2">
      <x v="27"/>
    </i>
    <i r="1">
      <x v="7"/>
    </i>
    <i r="2">
      <x/>
    </i>
    <i r="2">
      <x v="27"/>
    </i>
    <i t="grand">
      <x/>
    </i>
  </rowItems>
  <colItems count="1">
    <i/>
  </colItems>
  <pageFields count="3">
    <pageField fld="1" hier="-1"/>
    <pageField fld="4" hier="-1"/>
    <pageField fld="2" hier="-1"/>
  </pageFields>
  <dataFields count="1">
    <dataField name="Máx. de Drawdown %" fld="23" subtotal="max" baseField="22" baseItem="2"/>
  </dataFields>
  <formats count="2">
    <format dxfId="17">
      <pivotArea outline="0" collapsedLevelsAreSubtotals="1" fieldPosition="0"/>
    </format>
    <format dxfId="16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ela dinâmica11" cacheId="71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18">
  <location ref="A6:B10" firstHeaderRow="1" firstDataRow="1" firstDataCol="1" rowPageCount="3" colPageCount="1"/>
  <pivotFields count="26">
    <pivotField numFmtId="14" showAll="0"/>
    <pivotField axis="axisPage" multipleItemSelectionAllowed="1" showAll="0">
      <items count="16">
        <item m="1" x="10"/>
        <item x="0"/>
        <item m="1" x="9"/>
        <item m="1" x="8"/>
        <item m="1" x="7"/>
        <item m="1" x="5"/>
        <item x="4"/>
        <item m="1" x="6"/>
        <item m="1" x="13"/>
        <item m="1" x="12"/>
        <item m="1" x="14"/>
        <item x="3"/>
        <item m="1" x="11"/>
        <item x="1"/>
        <item x="2"/>
        <item t="default"/>
      </items>
    </pivotField>
    <pivotField axis="axisPage" multipleItemSelectionAllowed="1" showAll="0">
      <items count="5">
        <item m="1" x="3"/>
        <item x="0"/>
        <item x="1"/>
        <item x="2"/>
        <item t="default"/>
      </items>
    </pivotField>
    <pivotField showAll="0"/>
    <pivotField axis="axisPage" showAll="0">
      <items count="10">
        <item m="1" x="4"/>
        <item m="1" x="8"/>
        <item m="1" x="7"/>
        <item x="2"/>
        <item m="1" x="5"/>
        <item m="1" x="6"/>
        <item x="0"/>
        <item x="1"/>
        <item x="3"/>
        <item t="default"/>
      </items>
    </pivotField>
    <pivotField numFmtId="2" showAll="0"/>
    <pivotField numFmtId="166" showAll="0"/>
    <pivotField numFmtId="166" showAll="0"/>
    <pivotField numFmtId="166" showAll="0"/>
    <pivotField axis="axisRow" dataField="1" showAll="0">
      <items count="6">
        <item h="1" m="1" x="4"/>
        <item x="2"/>
        <item x="1"/>
        <item x="0"/>
        <item h="1" x="3"/>
        <item t="default"/>
      </items>
    </pivotField>
    <pivotField showAll="0"/>
    <pivotField showAll="0"/>
    <pivotField numFmtId="1" showAll="0"/>
    <pivotField numFmtId="1" showAll="0">
      <items count="9">
        <item x="2"/>
        <item m="1" x="3"/>
        <item m="1" x="4"/>
        <item x="0"/>
        <item x="1"/>
        <item m="1" x="5"/>
        <item m="1" x="6"/>
        <item m="1" x="7"/>
        <item t="default"/>
      </items>
    </pivotField>
    <pivotField numFmtId="1" showAll="0">
      <items count="4">
        <item x="1"/>
        <item m="1" x="2"/>
        <item x="0"/>
        <item t="default"/>
      </items>
    </pivotField>
    <pivotField numFmtId="1" showAll="0">
      <items count="20">
        <item x="1"/>
        <item m="1" x="10"/>
        <item m="1" x="4"/>
        <item m="1" x="11"/>
        <item m="1" x="18"/>
        <item m="1" x="2"/>
        <item m="1" x="6"/>
        <item m="1" x="13"/>
        <item x="0"/>
        <item m="1" x="3"/>
        <item m="1" x="12"/>
        <item m="1" x="5"/>
        <item m="1" x="14"/>
        <item m="1" x="7"/>
        <item m="1" x="15"/>
        <item m="1" x="8"/>
        <item m="1" x="16"/>
        <item m="1" x="9"/>
        <item m="1" x="17"/>
        <item t="default"/>
      </items>
    </pivotField>
    <pivotField numFmtId="166" showAll="0"/>
    <pivotField numFmtId="166" showAll="0"/>
    <pivotField numFmtId="166" showAll="0"/>
    <pivotField numFmtId="166" showAll="0"/>
    <pivotField numFmtId="10" showAll="0"/>
    <pivotField numFmtId="166" showAll="0"/>
    <pivotField showAll="0"/>
    <pivotField showAll="0"/>
    <pivotField showAll="0"/>
    <pivotField numFmtId="1" showAll="0"/>
  </pivotFields>
  <rowFields count="1">
    <field x="9"/>
  </rowFields>
  <rowItems count="4">
    <i>
      <x v="1"/>
    </i>
    <i>
      <x v="2"/>
    </i>
    <i>
      <x v="3"/>
    </i>
    <i t="grand">
      <x/>
    </i>
  </rowItems>
  <colItems count="1">
    <i/>
  </colItems>
  <pageFields count="3">
    <pageField fld="1" hier="-1"/>
    <pageField fld="4" hier="-1"/>
    <pageField fld="2" hier="-1"/>
  </pageFields>
  <dataFields count="1">
    <dataField name="Contagem de Conclusão" fld="9" subtotal="count" showDataAs="percentOfTotal" baseField="8" baseItem="1" numFmtId="10"/>
  </dataFields>
  <formats count="2">
    <format dxfId="19">
      <pivotArea outline="0" collapsedLevelsAreSubtotals="1" fieldPosition="0"/>
    </format>
    <format dxfId="18">
      <pivotArea dataOnly="0" labelOnly="1" outline="0" axis="axisValues" fieldPosition="0"/>
    </format>
  </format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6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4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6" format="15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6" format="16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4000000}" name="Tabela dinâmica20" cacheId="59" applyNumberFormats="0" applyBorderFormats="0" applyFontFormats="0" applyPatternFormats="0" applyAlignmentFormats="0" applyWidthHeightFormats="1" dataCaption="Valores" errorCaption="0" showMissing="0" updatedVersion="7" minRefreshableVersion="3" useAutoFormatting="1" itemPrintTitles="1" mergeItem="1" createdVersion="6" indent="0" outline="1" outlineData="1" multipleFieldFilters="0" chartFormat="25">
  <location ref="AV4:AW7" firstHeaderRow="1" firstDataRow="1" firstDataCol="1" rowPageCount="1" colPageCount="1"/>
  <pivotFields count="12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 measureFilter="1">
      <items count="13">
        <item x="4"/>
        <item x="5"/>
        <item x="6"/>
        <item x="7"/>
        <item x="8"/>
        <item x="9"/>
        <item x="10"/>
        <item x="11"/>
        <item x="0"/>
        <item x="1"/>
        <item x="2"/>
        <item x="3"/>
        <item t="default"/>
      </items>
    </pivotField>
    <pivotField numFmtId="168" showAll="0"/>
    <pivotField numFmtId="168" showAll="0"/>
    <pivotField showAll="0"/>
    <pivotField numFmtId="166" showAll="0"/>
    <pivotField numFmtId="166" showAll="0"/>
    <pivotField showAll="0"/>
    <pivotField showAll="0"/>
    <pivotField axis="axisPage" multipleItemSelectionAllowed="1" showAll="0">
      <items count="47">
        <item m="1" x="37"/>
        <item m="1" x="26"/>
        <item m="1" x="24"/>
        <item m="1" x="10"/>
        <item x="0"/>
        <item m="1" x="19"/>
        <item m="1" x="4"/>
        <item m="1" x="43"/>
        <item m="1" x="38"/>
        <item m="1" x="6"/>
        <item m="1" x="31"/>
        <item m="1" x="7"/>
        <item m="1" x="16"/>
        <item m="1" x="5"/>
        <item m="1" x="9"/>
        <item m="1" x="34"/>
        <item m="1" x="15"/>
        <item m="1" x="27"/>
        <item m="1" x="11"/>
        <item m="1" x="3"/>
        <item m="1" x="14"/>
        <item m="1" x="23"/>
        <item m="1" x="32"/>
        <item m="1" x="20"/>
        <item m="1" x="28"/>
        <item m="1" x="35"/>
        <item m="1" x="8"/>
        <item m="1" x="40"/>
        <item m="1" x="30"/>
        <item m="1" x="18"/>
        <item m="1" x="29"/>
        <item m="1" x="42"/>
        <item m="1" x="36"/>
        <item m="1" x="45"/>
        <item m="1" x="25"/>
        <item m="1" x="39"/>
        <item m="1" x="17"/>
        <item m="1" x="12"/>
        <item m="1" x="22"/>
        <item m="1" x="21"/>
        <item m="1" x="44"/>
        <item m="1" x="33"/>
        <item m="1" x="13"/>
        <item m="1" x="41"/>
        <item x="1"/>
        <item x="2"/>
        <item t="default"/>
      </items>
    </pivotField>
    <pivotField numFmtId="166" showAll="0"/>
    <pivotField dataField="1" showAll="0"/>
  </pivotFields>
  <rowFields count="2">
    <field x="0"/>
    <field x="1"/>
  </rowFields>
  <rowItems count="3">
    <i>
      <x v="1"/>
    </i>
    <i r="1">
      <x v="8"/>
    </i>
    <i t="grand">
      <x/>
    </i>
  </rowItems>
  <colItems count="1">
    <i/>
  </colItems>
  <pageFields count="1">
    <pageField fld="9" hier="-1"/>
  </pageFields>
  <dataFields count="1">
    <dataField name="Máx. de Performance" fld="11" subtotal="max" baseField="0" baseItem="1"/>
  </dataFields>
  <formats count="2">
    <format dxfId="21">
      <pivotArea outline="0" collapsedLevelsAreSubtotals="1" fieldPosition="0"/>
    </format>
    <format dxfId="20">
      <pivotArea dataOnly="0" labelOnly="1" outline="0" axis="axisValues" fieldPosition="0"/>
    </format>
  </format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Between" evalOrder="-1" id="1" iMeasureFld="0">
      <autoFilter ref="A1">
        <filterColumn colId="0">
          <customFilters and="1">
            <customFilter operator="greaterThanOrEqual" val="-10000"/>
            <customFilter operator="lessThanOrEqual" val="10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6000000}" name="Tabela dinâmica4" cacheId="71" applyNumberFormats="0" applyBorderFormats="0" applyFontFormats="0" applyPatternFormats="0" applyAlignmentFormats="0" applyWidthHeightFormats="1" dataCaption="Valores" updatedVersion="7" minRefreshableVersion="3" useAutoFormatting="1" itemPrintTitles="1" mergeItem="1" createdVersion="6" indent="0" outline="1" outlineData="1" chartFormat="19">
  <location ref="M6:O18" firstHeaderRow="1" firstDataRow="2" firstDataCol="1" rowPageCount="3" colPageCount="1"/>
  <pivotFields count="26">
    <pivotField numFmtId="14" showAll="0"/>
    <pivotField axis="axisPage" multipleItemSelectionAllowed="1" showAll="0">
      <items count="16">
        <item m="1" x="10"/>
        <item x="0"/>
        <item m="1" x="9"/>
        <item m="1" x="8"/>
        <item m="1" x="7"/>
        <item m="1" x="5"/>
        <item x="4"/>
        <item m="1" x="6"/>
        <item m="1" x="13"/>
        <item m="1" x="12"/>
        <item m="1" x="14"/>
        <item x="3"/>
        <item m="1" x="11"/>
        <item x="1"/>
        <item x="2"/>
        <item t="default"/>
      </items>
    </pivotField>
    <pivotField axis="axisPage" multipleItemSelectionAllowed="1" showAll="0">
      <items count="5">
        <item m="1" x="3"/>
        <item x="0"/>
        <item x="1"/>
        <item x="2"/>
        <item t="default"/>
      </items>
    </pivotField>
    <pivotField showAll="0"/>
    <pivotField axis="axisPage" showAll="0">
      <items count="10">
        <item m="1" x="4"/>
        <item m="1" x="8"/>
        <item m="1" x="7"/>
        <item x="2"/>
        <item m="1" x="5"/>
        <item m="1" x="6"/>
        <item x="0"/>
        <item x="1"/>
        <item x="3"/>
        <item t="default"/>
      </items>
    </pivotField>
    <pivotField numFmtId="2" showAll="0"/>
    <pivotField numFmtId="166" showAll="0"/>
    <pivotField numFmtId="166" showAll="0"/>
    <pivotField dataField="1" numFmtId="166" showAll="0"/>
    <pivotField showAll="0"/>
    <pivotField showAll="0"/>
    <pivotField showAll="0"/>
    <pivotField axis="axisRow" numFmtId="1" showAll="0">
      <items count="33">
        <item x="2"/>
        <item x="3"/>
        <item m="1" x="19"/>
        <item m="1" x="30"/>
        <item m="1" x="6"/>
        <item m="1" x="9"/>
        <item m="1" x="14"/>
        <item m="1" x="20"/>
        <item m="1" x="23"/>
        <item m="1" x="26"/>
        <item m="1" x="29"/>
        <item m="1" x="31"/>
        <item m="1" x="5"/>
        <item m="1" x="7"/>
        <item m="1" x="8"/>
        <item m="1" x="10"/>
        <item m="1" x="11"/>
        <item m="1" x="12"/>
        <item m="1" x="13"/>
        <item m="1" x="15"/>
        <item m="1" x="16"/>
        <item m="1" x="17"/>
        <item m="1" x="18"/>
        <item m="1" x="21"/>
        <item m="1" x="22"/>
        <item m="1" x="24"/>
        <item m="1" x="25"/>
        <item m="1" x="27"/>
        <item m="1" x="28"/>
        <item x="0"/>
        <item x="1"/>
        <item x="4"/>
        <item t="default"/>
      </items>
    </pivotField>
    <pivotField axis="axisRow" showAll="0">
      <items count="9">
        <item x="2"/>
        <item m="1" x="5"/>
        <item m="1" x="6"/>
        <item m="1" x="7"/>
        <item m="1" x="3"/>
        <item m="1" x="4"/>
        <item x="0"/>
        <item x="1"/>
        <item t="default"/>
      </items>
    </pivotField>
    <pivotField axis="axisRow" numFmtId="1" showAll="0" sortType="ascending">
      <items count="4">
        <item x="1"/>
        <item m="1" x="2"/>
        <item x="0"/>
        <item t="default"/>
      </items>
    </pivotField>
    <pivotField numFmtId="1" showAll="0">
      <items count="20">
        <item x="1"/>
        <item m="1" x="10"/>
        <item m="1" x="4"/>
        <item m="1" x="11"/>
        <item m="1" x="18"/>
        <item m="1" x="2"/>
        <item m="1" x="6"/>
        <item m="1" x="13"/>
        <item x="0"/>
        <item m="1" x="3"/>
        <item m="1" x="12"/>
        <item m="1" x="5"/>
        <item m="1" x="14"/>
        <item m="1" x="7"/>
        <item m="1" x="15"/>
        <item m="1" x="8"/>
        <item m="1" x="16"/>
        <item m="1" x="9"/>
        <item m="1" x="17"/>
        <item t="default"/>
      </items>
    </pivotField>
    <pivotField numFmtId="166" showAll="0"/>
    <pivotField numFmtId="166" showAll="0"/>
    <pivotField numFmtId="166" showAll="0"/>
    <pivotField numFmtId="166" showAll="0"/>
    <pivotField dataField="1" numFmtId="10" showAll="0"/>
    <pivotField numFmtId="166" showAll="0"/>
    <pivotField showAll="0"/>
    <pivotField showAll="0"/>
    <pivotField showAll="0"/>
    <pivotField numFmtId="1" showAll="0"/>
  </pivotFields>
  <rowFields count="3">
    <field x="14"/>
    <field x="13"/>
    <field x="12"/>
  </rowFields>
  <rowItems count="11">
    <i>
      <x/>
    </i>
    <i r="1">
      <x/>
    </i>
    <i r="2">
      <x v="31"/>
    </i>
    <i>
      <x v="2"/>
    </i>
    <i r="1">
      <x v="6"/>
    </i>
    <i r="2">
      <x v="29"/>
    </i>
    <i r="2">
      <x v="30"/>
    </i>
    <i r="1">
      <x v="7"/>
    </i>
    <i r="2">
      <x/>
    </i>
    <i r="2">
      <x v="1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-1"/>
    <pageField fld="4" hier="-1"/>
    <pageField fld="2" hier="-1"/>
  </pageFields>
  <dataFields count="2">
    <dataField name="$" fld="8" baseField="12" baseItem="31" numFmtId="4"/>
    <dataField name="%" fld="20" baseField="10" baseItem="1" numFmtId="169"/>
  </dataFields>
  <formats count="6">
    <format dxfId="27">
      <pivotArea outline="0" collapsedLevelsAreSubtotals="1" fieldPosition="0"/>
    </format>
    <format dxfId="26">
      <pivotArea dataOnly="0" labelOnly="1" outline="0" axis="axisValues" fieldPosition="0"/>
    </format>
    <format dxfId="2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3">
      <pivotArea outline="0" fieldPosition="0">
        <references count="1">
          <reference field="4294967294" count="1">
            <x v="0"/>
          </reference>
        </references>
      </pivotArea>
    </format>
    <format dxfId="22">
      <pivotArea outline="0" fieldPosition="0">
        <references count="1">
          <reference field="4294967294" count="1">
            <x v="1"/>
          </reference>
        </references>
      </pivotArea>
    </format>
  </format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7000000}" name="Tabela dinâmica5" cacheId="71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6">
  <location ref="Q6:R12" firstHeaderRow="1" firstDataRow="1" firstDataCol="1" rowPageCount="3" colPageCount="1"/>
  <pivotFields count="26">
    <pivotField numFmtId="14" showAll="0"/>
    <pivotField axis="axisPage" multipleItemSelectionAllowed="1" showAll="0">
      <items count="16">
        <item m="1" x="10"/>
        <item x="0"/>
        <item m="1" x="9"/>
        <item m="1" x="8"/>
        <item m="1" x="7"/>
        <item m="1" x="5"/>
        <item x="4"/>
        <item m="1" x="6"/>
        <item m="1" x="13"/>
        <item m="1" x="12"/>
        <item m="1" x="14"/>
        <item x="3"/>
        <item m="1" x="11"/>
        <item x="1"/>
        <item x="2"/>
        <item t="default"/>
      </items>
    </pivotField>
    <pivotField axis="axisPage" multipleItemSelectionAllowed="1" showAll="0">
      <items count="5">
        <item m="1" x="3"/>
        <item x="0"/>
        <item x="1"/>
        <item x="2"/>
        <item t="default"/>
      </items>
    </pivotField>
    <pivotField showAll="0"/>
    <pivotField axis="axisPage" showAll="0">
      <items count="10">
        <item m="1" x="4"/>
        <item m="1" x="8"/>
        <item m="1" x="7"/>
        <item x="2"/>
        <item m="1" x="5"/>
        <item m="1" x="6"/>
        <item x="0"/>
        <item x="1"/>
        <item x="3"/>
        <item t="default"/>
      </items>
    </pivotField>
    <pivotField numFmtId="2" showAll="0"/>
    <pivotField numFmtId="166" showAll="0"/>
    <pivotField numFmtId="166" showAll="0"/>
    <pivotField numFmtId="166" showAll="0"/>
    <pivotField showAll="0"/>
    <pivotField showAll="0"/>
    <pivotField showAll="0"/>
    <pivotField numFmtId="1" showAll="0"/>
    <pivotField axis="axisRow" numFmtId="1" showAll="0">
      <items count="9">
        <item x="2"/>
        <item m="1" x="5"/>
        <item m="1" x="6"/>
        <item m="1" x="7"/>
        <item m="1" x="3"/>
        <item m="1" x="4"/>
        <item x="0"/>
        <item x="1"/>
        <item t="default"/>
      </items>
    </pivotField>
    <pivotField axis="axisRow" numFmtId="1" showAll="0" sortType="ascending">
      <items count="4">
        <item x="1"/>
        <item m="1" x="2"/>
        <item x="0"/>
        <item t="default"/>
      </items>
    </pivotField>
    <pivotField numFmtId="1" showAll="0">
      <items count="20">
        <item x="1"/>
        <item m="1" x="10"/>
        <item m="1" x="4"/>
        <item m="1" x="11"/>
        <item m="1" x="18"/>
        <item m="1" x="2"/>
        <item m="1" x="6"/>
        <item m="1" x="13"/>
        <item x="0"/>
        <item m="1" x="3"/>
        <item m="1" x="12"/>
        <item m="1" x="5"/>
        <item m="1" x="14"/>
        <item m="1" x="7"/>
        <item m="1" x="15"/>
        <item m="1" x="8"/>
        <item m="1" x="16"/>
        <item m="1" x="9"/>
        <item m="1" x="17"/>
        <item t="default"/>
      </items>
    </pivotField>
    <pivotField numFmtId="166" showAll="0"/>
    <pivotField dataField="1" numFmtId="166" showAll="0"/>
    <pivotField numFmtId="166" showAll="0"/>
    <pivotField numFmtId="166" showAll="0"/>
    <pivotField numFmtId="10" showAll="0"/>
    <pivotField numFmtId="166" showAll="0"/>
    <pivotField showAll="0"/>
    <pivotField showAll="0"/>
    <pivotField showAll="0"/>
    <pivotField numFmtId="1" showAll="0"/>
  </pivotFields>
  <rowFields count="2">
    <field x="14"/>
    <field x="13"/>
  </rowFields>
  <rowItems count="6">
    <i>
      <x/>
    </i>
    <i r="1">
      <x/>
    </i>
    <i>
      <x v="2"/>
    </i>
    <i r="1">
      <x v="6"/>
    </i>
    <i r="1">
      <x v="7"/>
    </i>
    <i t="grand">
      <x/>
    </i>
  </rowItems>
  <colItems count="1">
    <i/>
  </colItems>
  <pageFields count="3">
    <pageField fld="1" hier="-1"/>
    <pageField fld="4" hier="-1"/>
    <pageField fld="2" hier="-1"/>
  </pageFields>
  <dataFields count="1">
    <dataField name="Máx. de Balanço-2 $" fld="17" subtotal="max" baseField="12" baseItem="0" numFmtId="171"/>
  </dataFields>
  <formats count="2">
    <format dxfId="29">
      <pivotArea outline="0" collapsedLevelsAreSubtotals="1" fieldPosition="0"/>
    </format>
    <format dxfId="28">
      <pivotArea dataOnly="0" labelOnly="1" outline="0" axis="axisValues" fieldPosition="0"/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71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24">
  <location ref="D6:E10" firstHeaderRow="1" firstDataRow="1" firstDataCol="1" rowPageCount="2" colPageCount="1"/>
  <pivotFields count="26">
    <pivotField numFmtId="14" showAll="0"/>
    <pivotField axis="axisPage" multipleItemSelectionAllowed="1" showAll="0">
      <items count="16">
        <item m="1" x="10"/>
        <item x="0"/>
        <item m="1" x="9"/>
        <item m="1" x="8"/>
        <item m="1" x="7"/>
        <item m="1" x="5"/>
        <item x="4"/>
        <item m="1" x="6"/>
        <item m="1" x="13"/>
        <item m="1" x="12"/>
        <item m="1" x="14"/>
        <item x="3"/>
        <item m="1" x="11"/>
        <item x="1"/>
        <item x="2"/>
        <item t="default"/>
      </items>
    </pivotField>
    <pivotField axis="axisRow" dataField="1" showAll="0">
      <items count="5">
        <item m="1" x="3"/>
        <item x="0"/>
        <item x="1"/>
        <item x="2"/>
        <item t="default"/>
      </items>
    </pivotField>
    <pivotField showAll="0"/>
    <pivotField axis="axisPage" showAll="0">
      <items count="10">
        <item m="1" x="4"/>
        <item m="1" x="8"/>
        <item m="1" x="7"/>
        <item x="2"/>
        <item m="1" x="5"/>
        <item m="1" x="6"/>
        <item x="0"/>
        <item x="1"/>
        <item x="3"/>
        <item t="default"/>
      </items>
    </pivotField>
    <pivotField numFmtId="2" showAll="0"/>
    <pivotField numFmtId="166" showAll="0"/>
    <pivotField numFmtId="166" showAll="0"/>
    <pivotField numFmtId="166" showAll="0"/>
    <pivotField showAll="0"/>
    <pivotField showAll="0"/>
    <pivotField showAll="0"/>
    <pivotField numFmtId="1" showAll="0"/>
    <pivotField numFmtId="1" showAll="0">
      <items count="9">
        <item x="2"/>
        <item m="1" x="3"/>
        <item m="1" x="4"/>
        <item x="0"/>
        <item x="1"/>
        <item m="1" x="5"/>
        <item m="1" x="6"/>
        <item m="1" x="7"/>
        <item t="default"/>
      </items>
    </pivotField>
    <pivotField numFmtId="1" showAll="0">
      <items count="4">
        <item x="1"/>
        <item m="1" x="2"/>
        <item x="0"/>
        <item t="default"/>
      </items>
    </pivotField>
    <pivotField numFmtId="1" showAll="0">
      <items count="20">
        <item x="1"/>
        <item m="1" x="10"/>
        <item m="1" x="4"/>
        <item m="1" x="11"/>
        <item m="1" x="18"/>
        <item m="1" x="2"/>
        <item m="1" x="6"/>
        <item m="1" x="13"/>
        <item x="0"/>
        <item m="1" x="3"/>
        <item m="1" x="12"/>
        <item m="1" x="5"/>
        <item m="1" x="14"/>
        <item m="1" x="7"/>
        <item m="1" x="15"/>
        <item m="1" x="8"/>
        <item m="1" x="16"/>
        <item m="1" x="9"/>
        <item m="1" x="17"/>
        <item t="default"/>
      </items>
    </pivotField>
    <pivotField numFmtId="166" showAll="0"/>
    <pivotField numFmtId="166" showAll="0"/>
    <pivotField numFmtId="166" showAll="0"/>
    <pivotField numFmtId="166" showAll="0"/>
    <pivotField numFmtId="10" showAll="0"/>
    <pivotField numFmtId="166" showAll="0"/>
    <pivotField showAll="0"/>
    <pivotField showAll="0"/>
    <pivotField showAll="0"/>
    <pivotField numFmtId="1" showAll="0"/>
  </pivotFields>
  <rowFields count="1">
    <field x="2"/>
  </rowFields>
  <rowItems count="4">
    <i>
      <x v="1"/>
    </i>
    <i>
      <x v="2"/>
    </i>
    <i>
      <x v="3"/>
    </i>
    <i t="grand">
      <x/>
    </i>
  </rowItems>
  <colItems count="1">
    <i/>
  </colItems>
  <pageFields count="2">
    <pageField fld="1" hier="-1"/>
    <pageField fld="4" hier="-1"/>
  </pageFields>
  <dataFields count="1">
    <dataField name="Contagem de Tipo de Ordem" fld="2" subtotal="count" showDataAs="percentOfTotal" baseField="2" baseItem="1" numFmtId="10"/>
  </dataFields>
  <formats count="3">
    <format dxfId="32">
      <pivotArea outline="0" collapsedLevelsAreSubtotals="1" fieldPosition="0"/>
    </format>
    <format dxfId="31">
      <pivotArea dataOnly="0" labelOnly="1" outline="0" axis="axisValues" fieldPosition="0"/>
    </format>
    <format dxfId="30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2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2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929085-FCBF-4923-A9FD-62D79F645A19}" name="Tabela dinâmica6" cacheId="59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29">
  <location ref="AY4:AZ8" firstHeaderRow="1" firstDataRow="1" firstDataCol="1" rowPageCount="1" colPageCount="1"/>
  <pivotFields count="12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 measureFilter="1">
      <items count="13">
        <item x="4"/>
        <item x="5"/>
        <item x="6"/>
        <item x="7"/>
        <item x="8"/>
        <item x="9"/>
        <item x="10"/>
        <item x="11"/>
        <item x="0"/>
        <item x="1"/>
        <item x="2"/>
        <item x="3"/>
        <item t="default"/>
      </items>
    </pivotField>
    <pivotField numFmtId="168" showAll="0"/>
    <pivotField numFmtId="168" showAll="0"/>
    <pivotField showAll="0"/>
    <pivotField numFmtId="166" showAll="0"/>
    <pivotField numFmtId="166" showAll="0"/>
    <pivotField dataField="1" showAll="0"/>
    <pivotField showAll="0"/>
    <pivotField axis="axisPage" multipleItemSelectionAllowed="1" showAll="0">
      <items count="47">
        <item m="1" x="37"/>
        <item m="1" x="26"/>
        <item m="1" x="24"/>
        <item m="1" x="10"/>
        <item x="0"/>
        <item m="1" x="19"/>
        <item m="1" x="4"/>
        <item m="1" x="43"/>
        <item m="1" x="38"/>
        <item m="1" x="6"/>
        <item m="1" x="31"/>
        <item m="1" x="7"/>
        <item m="1" x="16"/>
        <item m="1" x="5"/>
        <item m="1" x="9"/>
        <item m="1" x="34"/>
        <item m="1" x="15"/>
        <item m="1" x="27"/>
        <item m="1" x="11"/>
        <item m="1" x="3"/>
        <item m="1" x="14"/>
        <item m="1" x="23"/>
        <item m="1" x="32"/>
        <item m="1" x="20"/>
        <item m="1" x="28"/>
        <item m="1" x="35"/>
        <item m="1" x="8"/>
        <item m="1" x="40"/>
        <item m="1" x="30"/>
        <item m="1" x="18"/>
        <item m="1" x="29"/>
        <item m="1" x="42"/>
        <item m="1" x="36"/>
        <item m="1" x="45"/>
        <item m="1" x="25"/>
        <item m="1" x="39"/>
        <item m="1" x="17"/>
        <item m="1" x="12"/>
        <item m="1" x="22"/>
        <item m="1" x="21"/>
        <item m="1" x="44"/>
        <item m="1" x="33"/>
        <item m="1" x="13"/>
        <item m="1" x="41"/>
        <item x="1"/>
        <item x="2"/>
        <item t="default"/>
      </items>
    </pivotField>
    <pivotField numFmtId="166" showAll="0"/>
    <pivotField showAll="0"/>
  </pivotFields>
  <rowFields count="2">
    <field x="0"/>
    <field x="1"/>
  </rowFields>
  <rowItems count="4">
    <i>
      <x v="1"/>
    </i>
    <i r="1">
      <x v="7"/>
    </i>
    <i r="1">
      <x v="8"/>
    </i>
    <i t="grand">
      <x/>
    </i>
  </rowItems>
  <colItems count="1">
    <i/>
  </colItems>
  <pageFields count="1">
    <pageField fld="9" hier="-1"/>
  </pageFields>
  <dataFields count="1">
    <dataField name="Máx. de Saldo final mês" fld="7" subtotal="max" baseField="1" baseItem="9" numFmtId="171"/>
  </dataFields>
  <formats count="3">
    <format dxfId="35">
      <pivotArea outline="0" collapsedLevelsAreSubtotals="1" fieldPosition="0"/>
    </format>
    <format dxfId="34">
      <pivotArea dataOnly="0" labelOnly="1" outline="0" fieldPosition="0">
        <references count="1">
          <reference field="9" count="0"/>
        </references>
      </pivotArea>
    </format>
    <format dxfId="33">
      <pivotArea dataOnly="0" labelOnly="1" outline="0" axis="axisValues" fieldPosition="0"/>
    </format>
  </formats>
  <chartFormats count="1">
    <chartFormat chart="2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Between" evalOrder="-1" id="1" iMeasureFld="0">
      <autoFilter ref="A1">
        <filterColumn colId="0">
          <customFilters and="1">
            <customFilter operator="greaterThanOrEqual" val="-10000000"/>
            <customFilter operator="lessThanOrEqual" val="10000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2A2F87-7E3E-4ED8-A1F8-6297285AF0B4}" name="Tabela dinâmica8" cacheId="71" applyNumberFormats="0" applyBorderFormats="0" applyFontFormats="0" applyPatternFormats="0" applyAlignmentFormats="0" applyWidthHeightFormats="1" dataCaption="Valores" grandTotalCaption="Total" updatedVersion="7" minRefreshableVersion="3" useAutoFormatting="1" itemPrintTitles="1" createdVersion="6" indent="0" outline="1" outlineData="1" multipleFieldFilters="0" chartFormat="6">
  <location ref="W6:X22" firstHeaderRow="1" firstDataRow="1" firstDataCol="1" rowPageCount="3" colPageCount="1"/>
  <pivotFields count="26">
    <pivotField numFmtId="14" showAll="0"/>
    <pivotField axis="axisPage" multipleItemSelectionAllowed="1" showAll="0">
      <items count="16">
        <item m="1" x="10"/>
        <item x="0"/>
        <item m="1" x="9"/>
        <item m="1" x="8"/>
        <item m="1" x="7"/>
        <item m="1" x="5"/>
        <item x="4"/>
        <item m="1" x="6"/>
        <item m="1" x="13"/>
        <item m="1" x="12"/>
        <item m="1" x="14"/>
        <item x="3"/>
        <item m="1" x="11"/>
        <item x="1"/>
        <item x="2"/>
        <item t="default"/>
      </items>
    </pivotField>
    <pivotField axis="axisPage" multipleItemSelectionAllowed="1" showAll="0">
      <items count="5">
        <item m="1" x="3"/>
        <item x="0"/>
        <item x="1"/>
        <item x="2"/>
        <item t="default"/>
      </items>
    </pivotField>
    <pivotField showAll="0"/>
    <pivotField axis="axisPage" showAll="0">
      <items count="10">
        <item m="1" x="4"/>
        <item m="1" x="8"/>
        <item m="1" x="7"/>
        <item x="2"/>
        <item m="1" x="5"/>
        <item m="1" x="6"/>
        <item x="0"/>
        <item x="1"/>
        <item x="3"/>
        <item t="default"/>
      </items>
    </pivotField>
    <pivotField numFmtId="2" showAll="0"/>
    <pivotField numFmtId="166" showAll="0"/>
    <pivotField numFmtId="166" showAll="0"/>
    <pivotField numFmtId="166" showAll="0"/>
    <pivotField showAll="0"/>
    <pivotField showAll="0"/>
    <pivotField showAll="0"/>
    <pivotField axis="axisRow" numFmtId="1" showAll="0" sortType="descending">
      <items count="33">
        <item x="1"/>
        <item x="0"/>
        <item m="1" x="28"/>
        <item m="1" x="27"/>
        <item m="1" x="25"/>
        <item m="1" x="24"/>
        <item m="1" x="22"/>
        <item m="1" x="21"/>
        <item m="1" x="18"/>
        <item m="1" x="17"/>
        <item m="1" x="16"/>
        <item m="1" x="15"/>
        <item m="1" x="13"/>
        <item m="1" x="12"/>
        <item m="1" x="11"/>
        <item m="1" x="10"/>
        <item m="1" x="8"/>
        <item m="1" x="7"/>
        <item m="1" x="5"/>
        <item m="1" x="31"/>
        <item m="1" x="29"/>
        <item m="1" x="26"/>
        <item m="1" x="23"/>
        <item m="1" x="20"/>
        <item m="1" x="14"/>
        <item m="1" x="9"/>
        <item m="1" x="6"/>
        <item m="1" x="30"/>
        <item m="1" x="19"/>
        <item x="3"/>
        <item x="2"/>
        <item x="4"/>
        <item t="default"/>
      </items>
    </pivotField>
    <pivotField axis="axisRow" numFmtId="1" showAll="0" sortType="descending">
      <items count="9">
        <item m="1" x="7"/>
        <item m="1" x="6"/>
        <item m="1" x="5"/>
        <item x="1"/>
        <item x="0"/>
        <item m="1" x="4"/>
        <item m="1" x="3"/>
        <item x="2"/>
        <item t="default"/>
      </items>
    </pivotField>
    <pivotField axis="axisRow" numFmtId="1" showAll="0" sortType="descending">
      <items count="4">
        <item x="0"/>
        <item m="1" x="2"/>
        <item x="1"/>
        <item t="default"/>
      </items>
    </pivotField>
    <pivotField numFmtId="1" showAll="0">
      <items count="20">
        <item x="1"/>
        <item m="1" x="10"/>
        <item m="1" x="4"/>
        <item m="1" x="11"/>
        <item m="1" x="18"/>
        <item m="1" x="2"/>
        <item m="1" x="6"/>
        <item m="1" x="13"/>
        <item x="0"/>
        <item m="1" x="3"/>
        <item m="1" x="12"/>
        <item m="1" x="5"/>
        <item m="1" x="14"/>
        <item m="1" x="7"/>
        <item m="1" x="15"/>
        <item m="1" x="8"/>
        <item m="1" x="16"/>
        <item m="1" x="9"/>
        <item m="1" x="17"/>
        <item t="default"/>
      </items>
    </pivotField>
    <pivotField numFmtId="166" showAll="0"/>
    <pivotField numFmtId="166" showAll="0"/>
    <pivotField dataField="1" numFmtId="166" showAll="0"/>
    <pivotField numFmtId="166" showAll="0"/>
    <pivotField numFmtId="10" showAll="0"/>
    <pivotField numFmtId="166" showAll="0"/>
    <pivotField showAll="0"/>
    <pivotField showAll="0"/>
    <pivotField showAll="0"/>
    <pivotField axis="axisRow" numFmtId="1" showAll="0" sortType="descending">
      <items count="6">
        <item x="4"/>
        <item x="3"/>
        <item x="2"/>
        <item x="1"/>
        <item x="0"/>
        <item t="default"/>
      </items>
    </pivotField>
  </pivotFields>
  <rowFields count="4">
    <field x="14"/>
    <field x="13"/>
    <field x="12"/>
    <field x="25"/>
  </rowFields>
  <rowItems count="16">
    <i>
      <x/>
    </i>
    <i r="1">
      <x v="3"/>
    </i>
    <i r="2">
      <x v="29"/>
    </i>
    <i r="3">
      <x v="1"/>
    </i>
    <i r="2">
      <x v="30"/>
    </i>
    <i r="3">
      <x v="2"/>
    </i>
    <i r="1">
      <x v="4"/>
    </i>
    <i r="2">
      <x/>
    </i>
    <i r="3">
      <x v="3"/>
    </i>
    <i r="2">
      <x v="1"/>
    </i>
    <i r="3">
      <x v="4"/>
    </i>
    <i>
      <x v="2"/>
    </i>
    <i r="1">
      <x v="7"/>
    </i>
    <i r="2">
      <x v="31"/>
    </i>
    <i r="3">
      <x/>
    </i>
    <i t="grand">
      <x/>
    </i>
  </rowItems>
  <colItems count="1">
    <i/>
  </colItems>
  <pageFields count="3">
    <pageField fld="1" hier="-1"/>
    <pageField fld="4" hier="-1"/>
    <pageField fld="2" hier="-1"/>
  </pageFields>
  <dataFields count="1">
    <dataField name="Soma de Balanço Final $" fld="18" baseField="0" baseItem="0" numFmtId="171"/>
  </dataFields>
  <formats count="2">
    <format dxfId="37">
      <pivotArea outline="0" collapsedLevelsAreSubtotals="1" fieldPosition="0"/>
    </format>
    <format dxfId="3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63714C-7B53-4BBB-9ACE-06AAF07E9BE6}" name="Tabela dinâmica7" cacheId="71" applyNumberFormats="0" applyBorderFormats="0" applyFontFormats="0" applyPatternFormats="0" applyAlignmentFormats="0" applyWidthHeightFormats="1" dataCaption="Valores" grandTotalCaption="Total" updatedVersion="7" minRefreshableVersion="3" useAutoFormatting="1" itemPrintTitles="1" createdVersion="6" indent="0" outline="1" outlineData="1" multipleFieldFilters="0" chartFormat="6">
  <location ref="T6:U15" firstHeaderRow="1" firstDataRow="1" firstDataCol="1" rowPageCount="3" colPageCount="1"/>
  <pivotFields count="26">
    <pivotField numFmtId="14" showAll="0"/>
    <pivotField axis="axisPage" multipleItemSelectionAllowed="1" showAll="0">
      <items count="16">
        <item m="1" x="10"/>
        <item x="0"/>
        <item m="1" x="9"/>
        <item m="1" x="8"/>
        <item m="1" x="7"/>
        <item m="1" x="5"/>
        <item x="4"/>
        <item m="1" x="6"/>
        <item m="1" x="13"/>
        <item m="1" x="12"/>
        <item m="1" x="14"/>
        <item x="3"/>
        <item m="1" x="11"/>
        <item x="1"/>
        <item x="2"/>
        <item t="default"/>
      </items>
    </pivotField>
    <pivotField axis="axisPage" multipleItemSelectionAllowed="1" showAll="0">
      <items count="5">
        <item m="1" x="3"/>
        <item x="0"/>
        <item x="1"/>
        <item x="2"/>
        <item t="default"/>
      </items>
    </pivotField>
    <pivotField showAll="0"/>
    <pivotField axis="axisPage" showAll="0">
      <items count="10">
        <item m="1" x="4"/>
        <item m="1" x="8"/>
        <item m="1" x="7"/>
        <item x="2"/>
        <item m="1" x="5"/>
        <item m="1" x="6"/>
        <item x="0"/>
        <item x="1"/>
        <item x="3"/>
        <item t="default"/>
      </items>
    </pivotField>
    <pivotField numFmtId="2" showAll="0"/>
    <pivotField numFmtId="166" showAll="0"/>
    <pivotField numFmtId="166" showAll="0"/>
    <pivotField dataField="1" numFmtId="166" showAll="0"/>
    <pivotField showAll="0"/>
    <pivotField showAll="0"/>
    <pivotField showAll="0"/>
    <pivotField numFmtId="1" showAll="0"/>
    <pivotField axis="axisRow" numFmtId="1" showAll="0">
      <items count="9">
        <item x="2"/>
        <item m="1" x="5"/>
        <item m="1" x="6"/>
        <item m="1" x="7"/>
        <item m="1" x="3"/>
        <item m="1" x="4"/>
        <item x="0"/>
        <item x="1"/>
        <item t="default"/>
      </items>
    </pivotField>
    <pivotField axis="axisRow" numFmtId="1" showAll="0" sortType="ascending">
      <items count="4">
        <item x="1"/>
        <item m="1" x="2"/>
        <item x="0"/>
        <item t="default"/>
      </items>
    </pivotField>
    <pivotField axis="axisRow" numFmtId="1" showAll="0">
      <items count="20">
        <item m="1" x="10"/>
        <item m="1" x="4"/>
        <item m="1" x="11"/>
        <item m="1" x="18"/>
        <item m="1" x="3"/>
        <item m="1" x="12"/>
        <item m="1" x="5"/>
        <item m="1" x="14"/>
        <item m="1" x="7"/>
        <item m="1" x="15"/>
        <item m="1" x="8"/>
        <item m="1" x="16"/>
        <item m="1" x="9"/>
        <item m="1" x="17"/>
        <item x="1"/>
        <item m="1" x="2"/>
        <item m="1" x="6"/>
        <item m="1" x="13"/>
        <item x="0"/>
        <item t="default"/>
      </items>
    </pivotField>
    <pivotField numFmtId="166" showAll="0"/>
    <pivotField numFmtId="166" showAll="0"/>
    <pivotField numFmtId="166" showAll="0"/>
    <pivotField numFmtId="166" showAll="0"/>
    <pivotField numFmtId="10" showAll="0"/>
    <pivotField numFmtId="166" showAll="0"/>
    <pivotField showAll="0"/>
    <pivotField showAll="0"/>
    <pivotField showAll="0"/>
    <pivotField numFmtId="1" showAll="0"/>
  </pivotFields>
  <rowFields count="3">
    <field x="14"/>
    <field x="13"/>
    <field x="15"/>
  </rowFields>
  <rowItems count="9">
    <i>
      <x/>
    </i>
    <i r="1">
      <x/>
    </i>
    <i r="2">
      <x v="14"/>
    </i>
    <i>
      <x v="2"/>
    </i>
    <i r="1">
      <x v="6"/>
    </i>
    <i r="2">
      <x v="18"/>
    </i>
    <i r="1">
      <x v="7"/>
    </i>
    <i r="2">
      <x v="18"/>
    </i>
    <i t="grand">
      <x/>
    </i>
  </rowItems>
  <colItems count="1">
    <i/>
  </colItems>
  <pageFields count="3">
    <pageField fld="1" hier="-1"/>
    <pageField fld="4" hier="-1"/>
    <pageField fld="2" hier="-1"/>
  </pageFields>
  <dataFields count="1">
    <dataField name="Soma de Resultado $" fld="8" baseField="0" baseItem="0" numFmtId="171"/>
  </dataFields>
  <formats count="2">
    <format dxfId="39">
      <pivotArea outline="0" collapsedLevelsAreSubtotals="1" fieldPosition="0"/>
    </format>
    <format dxfId="38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3000000}" name="Tabela dinâmica2" cacheId="71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18">
  <location ref="G6:H15" firstHeaderRow="1" firstDataRow="1" firstDataCol="1" rowPageCount="3" colPageCount="1"/>
  <pivotFields count="26">
    <pivotField numFmtId="14" showAll="0"/>
    <pivotField axis="axisPage" multipleItemSelectionAllowed="1" showAll="0">
      <items count="16">
        <item m="1" x="10"/>
        <item x="0"/>
        <item m="1" x="9"/>
        <item m="1" x="8"/>
        <item m="1" x="7"/>
        <item m="1" x="5"/>
        <item x="4"/>
        <item m="1" x="6"/>
        <item m="1" x="13"/>
        <item m="1" x="12"/>
        <item m="1" x="14"/>
        <item x="3"/>
        <item m="1" x="11"/>
        <item x="1"/>
        <item x="2"/>
        <item t="default"/>
      </items>
    </pivotField>
    <pivotField axis="axisPage" multipleItemSelectionAllowed="1" showAll="0">
      <items count="5">
        <item m="1" x="3"/>
        <item x="0"/>
        <item x="1"/>
        <item x="2"/>
        <item t="default"/>
      </items>
    </pivotField>
    <pivotField showAll="0"/>
    <pivotField axis="axisPage" showAll="0">
      <items count="10">
        <item m="1" x="4"/>
        <item m="1" x="8"/>
        <item m="1" x="7"/>
        <item x="2"/>
        <item m="1" x="5"/>
        <item m="1" x="6"/>
        <item x="0"/>
        <item x="1"/>
        <item x="3"/>
        <item t="default"/>
      </items>
    </pivotField>
    <pivotField numFmtId="2" showAll="0"/>
    <pivotField numFmtId="166" showAll="0"/>
    <pivotField numFmtId="166" showAll="0"/>
    <pivotField numFmtId="166" showAll="0"/>
    <pivotField showAll="0"/>
    <pivotField showAll="0"/>
    <pivotField showAll="0"/>
    <pivotField numFmtId="1" showAll="0"/>
    <pivotField axis="axisRow" numFmtId="1" showAll="0">
      <items count="9">
        <item x="2"/>
        <item m="1" x="5"/>
        <item m="1" x="6"/>
        <item m="1" x="7"/>
        <item m="1" x="3"/>
        <item m="1" x="4"/>
        <item x="0"/>
        <item x="1"/>
        <item t="default"/>
      </items>
    </pivotField>
    <pivotField axis="axisRow" numFmtId="1" showAll="0">
      <items count="4">
        <item m="1" x="2"/>
        <item x="0"/>
        <item x="1"/>
        <item t="default"/>
      </items>
    </pivotField>
    <pivotField numFmtId="1" showAll="0">
      <items count="20">
        <item x="1"/>
        <item m="1" x="10"/>
        <item m="1" x="4"/>
        <item m="1" x="11"/>
        <item m="1" x="18"/>
        <item m="1" x="2"/>
        <item m="1" x="6"/>
        <item m="1" x="13"/>
        <item x="0"/>
        <item m="1" x="3"/>
        <item m="1" x="12"/>
        <item m="1" x="5"/>
        <item m="1" x="14"/>
        <item m="1" x="7"/>
        <item m="1" x="15"/>
        <item m="1" x="8"/>
        <item m="1" x="16"/>
        <item m="1" x="9"/>
        <item m="1" x="17"/>
        <item t="default"/>
      </items>
    </pivotField>
    <pivotField numFmtId="166" showAll="0"/>
    <pivotField numFmtId="166" showAll="0"/>
    <pivotField numFmtId="166" showAll="0"/>
    <pivotField numFmtId="166" showAll="0"/>
    <pivotField numFmtId="10" showAll="0"/>
    <pivotField numFmtId="166" showAll="0"/>
    <pivotField showAll="0"/>
    <pivotField dataField="1" showAll="0"/>
    <pivotField axis="axisRow" showAll="0" measureFilter="1">
      <items count="29">
        <item x="1"/>
        <item m="1" x="13"/>
        <item m="1" x="26"/>
        <item m="1" x="3"/>
        <item m="1" x="9"/>
        <item m="1" x="14"/>
        <item m="1" x="17"/>
        <item m="1" x="20"/>
        <item m="1" x="23"/>
        <item m="1" x="27"/>
        <item m="1" x="2"/>
        <item m="1" x="4"/>
        <item m="1" x="5"/>
        <item m="1" x="7"/>
        <item m="1" x="8"/>
        <item m="1" x="10"/>
        <item m="1" x="12"/>
        <item m="1" x="15"/>
        <item m="1" x="16"/>
        <item m="1" x="18"/>
        <item m="1" x="19"/>
        <item m="1" x="21"/>
        <item m="1" x="22"/>
        <item m="1" x="24"/>
        <item m="1" x="25"/>
        <item m="1" x="6"/>
        <item m="1" x="11"/>
        <item x="0"/>
        <item t="default"/>
      </items>
    </pivotField>
    <pivotField numFmtId="1" showAll="0"/>
  </pivotFields>
  <rowFields count="3">
    <field x="14"/>
    <field x="13"/>
    <field x="24"/>
  </rowFields>
  <rowItems count="9">
    <i>
      <x v="1"/>
    </i>
    <i r="1">
      <x v="6"/>
    </i>
    <i r="2">
      <x v="27"/>
    </i>
    <i r="1">
      <x v="7"/>
    </i>
    <i r="2">
      <x/>
    </i>
    <i>
      <x v="2"/>
    </i>
    <i r="1">
      <x/>
    </i>
    <i r="2">
      <x v="27"/>
    </i>
    <i t="grand">
      <x/>
    </i>
  </rowItems>
  <colItems count="1">
    <i/>
  </colItems>
  <pageFields count="3">
    <pageField fld="1" hier="-1"/>
    <pageField fld="4" hier="-1"/>
    <pageField fld="2" hier="-1"/>
  </pageFields>
  <dataFields count="1">
    <dataField name="Máx. de Drawdown %" fld="23" subtotal="max" baseField="22" baseItem="27"/>
  </dataFields>
  <formats count="2">
    <format dxfId="41">
      <pivotArea outline="0" collapsedLevelsAreSubtotals="1" fieldPosition="0"/>
    </format>
    <format dxfId="40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4" type="count" evalOrder="-1" id="5" iMeasureFld="0">
      <autoFilter ref="A1">
        <filterColumn colId="0">
          <top10 val="1" filterVal="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Tabela dinâmica19" cacheId="59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26">
  <location ref="AR4:AT8" firstHeaderRow="0" firstDataRow="1" firstDataCol="1" rowPageCount="1" colPageCount="1"/>
  <pivotFields count="12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 measureFilter="1">
      <items count="13">
        <item x="4"/>
        <item x="5"/>
        <item x="6"/>
        <item x="7"/>
        <item x="8"/>
        <item x="9"/>
        <item x="10"/>
        <item x="11"/>
        <item x="0"/>
        <item x="1"/>
        <item x="2"/>
        <item x="3"/>
        <item t="default"/>
      </items>
    </pivotField>
    <pivotField numFmtId="168" showAll="0"/>
    <pivotField numFmtId="168" showAll="0"/>
    <pivotField showAll="0"/>
    <pivotField numFmtId="166" showAll="0"/>
    <pivotField numFmtId="166" showAll="0"/>
    <pivotField showAll="0"/>
    <pivotField dataField="1" showAll="0"/>
    <pivotField axis="axisPage" dataField="1" multipleItemSelectionAllowed="1" showAll="0">
      <items count="47">
        <item m="1" x="37"/>
        <item m="1" x="26"/>
        <item m="1" x="24"/>
        <item m="1" x="10"/>
        <item x="0"/>
        <item m="1" x="19"/>
        <item m="1" x="4"/>
        <item m="1" x="43"/>
        <item m="1" x="38"/>
        <item m="1" x="6"/>
        <item m="1" x="31"/>
        <item m="1" x="7"/>
        <item m="1" x="16"/>
        <item m="1" x="5"/>
        <item m="1" x="9"/>
        <item m="1" x="34"/>
        <item m="1" x="15"/>
        <item m="1" x="27"/>
        <item m="1" x="11"/>
        <item m="1" x="3"/>
        <item m="1" x="14"/>
        <item m="1" x="23"/>
        <item m="1" x="32"/>
        <item m="1" x="20"/>
        <item m="1" x="28"/>
        <item m="1" x="35"/>
        <item m="1" x="8"/>
        <item m="1" x="40"/>
        <item m="1" x="30"/>
        <item m="1" x="18"/>
        <item m="1" x="29"/>
        <item m="1" x="42"/>
        <item m="1" x="36"/>
        <item m="1" x="45"/>
        <item m="1" x="25"/>
        <item m="1" x="39"/>
        <item m="1" x="17"/>
        <item m="1" x="12"/>
        <item m="1" x="22"/>
        <item m="1" x="21"/>
        <item m="1" x="44"/>
        <item m="1" x="33"/>
        <item m="1" x="13"/>
        <item m="1" x="41"/>
        <item x="1"/>
        <item x="2"/>
        <item t="default"/>
      </items>
    </pivotField>
    <pivotField numFmtId="166" showAll="0"/>
    <pivotField showAll="0"/>
  </pivotFields>
  <rowFields count="2">
    <field x="0"/>
    <field x="1"/>
  </rowFields>
  <rowItems count="4">
    <i>
      <x v="1"/>
    </i>
    <i r="1">
      <x v="7"/>
    </i>
    <i r="1"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9" hier="-1"/>
  </pageFields>
  <dataFields count="2">
    <dataField name="Resultado % do mês" fld="9" subtotal="max" baseField="0" baseItem="1" numFmtId="10"/>
    <dataField name="Lucro no mês" fld="8" baseField="0" baseItem="1" numFmtId="171"/>
  </dataFields>
  <formats count="5">
    <format dxfId="46">
      <pivotArea outline="0" collapsedLevelsAreSubtotals="1" fieldPosition="0"/>
    </format>
    <format dxfId="45">
      <pivotArea dataOnly="0" labelOnly="1" outline="0" axis="axisValues" fieldPosition="0"/>
    </format>
    <format dxfId="44">
      <pivotArea outline="0" fieldPosition="0">
        <references count="1">
          <reference field="4294967294" count="1">
            <x v="1"/>
          </reference>
        </references>
      </pivotArea>
    </format>
    <format dxfId="4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Between" evalOrder="-1" id="1" iMeasureFld="0">
      <autoFilter ref="A1">
        <filterColumn colId="0">
          <customFilters and="1">
            <customFilter operator="greaterThanOrEqual" val="-10000"/>
            <customFilter operator="lessThanOrEqual" val="10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1CB0B5B1-5AE5-46C6-8435-2755A34A183C}" sourceName="Mês">
  <pivotTables>
    <pivotTable tabId="14" name="Tabela dinâmica1"/>
    <pivotTable tabId="14" name="Tabela dinâmica11"/>
    <pivotTable tabId="14" name="Tabela dinâmica2"/>
    <pivotTable tabId="14" name="Tabela dinâmica3"/>
    <pivotTable tabId="14" name="Tabela dinâmica4"/>
    <pivotTable tabId="14" name="Tabela dinâmica5"/>
    <pivotTable tabId="14" name="Tabela dinâmica7"/>
    <pivotTable tabId="14" name="Tabela dinâmica8"/>
  </pivotTables>
  <data>
    <tabular pivotCacheId="963243156">
      <items count="8">
        <i x="2" s="1"/>
        <i x="0" s="1"/>
        <i x="1" s="1"/>
        <i x="3" s="1" nd="1"/>
        <i x="4" s="1" nd="1"/>
        <i x="5" s="1" nd="1"/>
        <i x="6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7090FF20-56BB-409F-BB88-E79C8849244B}" sourceName="Ano">
  <pivotTables>
    <pivotTable tabId="14" name="Tabela dinâmica1"/>
    <pivotTable tabId="14" name="Tabela dinâmica11"/>
    <pivotTable tabId="14" name="Tabela dinâmica2"/>
    <pivotTable tabId="14" name="Tabela dinâmica3"/>
    <pivotTable tabId="14" name="Tabela dinâmica4"/>
    <pivotTable tabId="14" name="Tabela dinâmica5"/>
    <pivotTable tabId="14" name="Tabela dinâmica7"/>
    <pivotTable tabId="14" name="Tabela dinâmica8"/>
  </pivotTables>
  <data>
    <tabular pivotCacheId="963243156">
      <items count="3">
        <i x="1" s="1"/>
        <i x="0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tivo1" xr10:uid="{FDA84A70-EAB3-49FC-9015-F41CA367BCA8}" sourceName="Ativo">
  <pivotTables>
    <pivotTable tabId="14" name="Tabela dinâmica1"/>
    <pivotTable tabId="14" name="Tabela dinâmica11"/>
    <pivotTable tabId="14" name="Tabela dinâmica2"/>
    <pivotTable tabId="14" name="Tabela dinâmica3"/>
    <pivotTable tabId="14" name="Tabela dinâmica4"/>
    <pivotTable tabId="14" name="Tabela dinâmica5"/>
    <pivotTable tabId="14" name="Tabela dinâmica7"/>
    <pivotTable tabId="14" name="Tabela dinâmica8"/>
  </pivotTables>
  <data>
    <tabular pivotCacheId="963243156">
      <items count="15">
        <i x="2" s="1"/>
        <i x="0" s="1"/>
        <i x="3" s="1"/>
        <i x="1" s="1"/>
        <i x="4" s="1"/>
        <i x="5" s="1" nd="1"/>
        <i x="10" s="1" nd="1"/>
        <i x="9" s="1" nd="1"/>
        <i x="14" s="1" nd="1"/>
        <i x="12" s="1" nd="1"/>
        <i x="13" s="1" nd="1"/>
        <i x="8" s="1" nd="1"/>
        <i x="6" s="1" nd="1"/>
        <i x="11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_de_Ordem" xr10:uid="{2BE3E97B-EB60-4FB2-A038-D282BA3B0D52}" sourceName="Tipo de Ordem">
  <pivotTables>
    <pivotTable tabId="14" name="Tabela dinâmica1"/>
    <pivotTable tabId="14" name="Tabela dinâmica11"/>
    <pivotTable tabId="14" name="Tabela dinâmica2"/>
    <pivotTable tabId="14" name="Tabela dinâmica3"/>
    <pivotTable tabId="14" name="Tabela dinâmica4"/>
    <pivotTable tabId="14" name="Tabela dinâmica5"/>
    <pivotTable tabId="14" name="Tabela dinâmica7"/>
    <pivotTable tabId="14" name="Tabela dinâmica8"/>
  </pivotTables>
  <data>
    <tabular pivotCacheId="963243156">
      <items count="4">
        <i x="0" s="1"/>
        <i x="1" s="1"/>
        <i x="2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stratégia1" xr10:uid="{85E59CDF-0946-4B9F-A98C-BA269B3F7739}" sourceName="Estratégia">
  <pivotTables>
    <pivotTable tabId="14" name="Tabela dinâmica1"/>
    <pivotTable tabId="14" name="Tabela dinâmica11"/>
    <pivotTable tabId="14" name="Tabela dinâmica2"/>
    <pivotTable tabId="14" name="Tabela dinâmica3"/>
    <pivotTable tabId="14" name="Tabela dinâmica4"/>
    <pivotTable tabId="14" name="Tabela dinâmica5"/>
    <pivotTable tabId="14" name="Tabela dinâmica7"/>
    <pivotTable tabId="14" name="Tabela dinâmica8"/>
  </pivotTables>
  <data>
    <tabular pivotCacheId="963243156">
      <items count="9">
        <i x="2" s="1"/>
        <i x="0" s="1"/>
        <i x="1" s="1"/>
        <i x="3" s="1"/>
        <i x="4" s="1" nd="1"/>
        <i x="8" s="1" nd="1"/>
        <i x="7" s="1" nd="1"/>
        <i x="5" s="1" nd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mana" xr10:uid="{C6DEC130-80C4-43C4-8A89-BD1BE6078631}" sourceName="Semana">
  <pivotTables>
    <pivotTable tabId="14" name="Tabela dinâmica2"/>
    <pivotTable tabId="14" name="Tabela dinâmica1"/>
    <pivotTable tabId="14" name="Tabela dinâmica11"/>
    <pivotTable tabId="14" name="Tabela dinâmica3"/>
    <pivotTable tabId="14" name="Tabela dinâmica4"/>
    <pivotTable tabId="14" name="Tabela dinâmica5"/>
    <pivotTable tabId="14" name="Tabela dinâmica7"/>
    <pivotTable tabId="14" name="Tabela dinâmica8"/>
  </pivotTables>
  <data>
    <tabular pivotCacheId="963243156">
      <items count="19">
        <i x="1" s="1"/>
        <i x="0" s="1"/>
        <i x="10" s="1" nd="1"/>
        <i x="4" s="1" nd="1"/>
        <i x="11" s="1" nd="1"/>
        <i x="18" s="1" nd="1"/>
        <i x="2" s="1" nd="1"/>
        <i x="6" s="1" nd="1"/>
        <i x="13" s="1" nd="1"/>
        <i x="3" s="1" nd="1"/>
        <i x="12" s="1" nd="1"/>
        <i x="5" s="1" nd="1"/>
        <i x="14" s="1" nd="1"/>
        <i x="7" s="1" nd="1"/>
        <i x="15" s="1" nd="1"/>
        <i x="8" s="1" nd="1"/>
        <i x="16" s="1" nd="1"/>
        <i x="9" s="1" nd="1"/>
        <i x="1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4" xr10:uid="{E3871F6D-C20E-4FFC-B366-ACD6C9363C6F}" cache="SegmentaçãodeDados_Mês" caption="Mês" columnCount="4" style="TraderX" rowHeight="241300"/>
  <slicer name="Ano 4" xr10:uid="{28F3CB4B-80A2-4DA7-916C-69754991AB60}" cache="SegmentaçãodeDados_Ano" caption="Ano" columnCount="2" style="TraderX" rowHeight="241300"/>
  <slicer name="Ativo 5" xr10:uid="{1E0F71DB-44E5-44C7-A733-DA8E9ED1CD4D}" cache="SegmentaçãodeDados_Ativo1" caption="Ativo" columnCount="3" style="TraderX" rowHeight="241300"/>
  <slicer name="Tipo de Ordem 4" xr10:uid="{F596DB0A-3DE3-47AB-8D67-760F3267E6F4}" cache="SegmentaçãodeDados_Tipo_de_Ordem" caption="Tipo de Ordem" style="TraderX" rowHeight="241300"/>
  <slicer name="Estratégia 5" xr10:uid="{EAF8310A-99CC-459A-BCC9-D43DC3AFE9F6}" cache="SegmentaçãodeDados_Estratégia1" caption="Estratégia" columnCount="3" style="TraderX" rowHeight="241300"/>
  <slicer name="Semana 4" xr10:uid="{DBAC8B94-43D6-4CFC-91F9-FC8D21253CB3}" cache="SegmentaçãodeDados_Semana" caption="Semana" columnCount="7" style="TraderX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3" xr10:uid="{586020D7-0162-422F-921F-BCE8440CA5FC}" cache="SegmentaçãodeDados_Mês" caption="Mês" columnCount="4" style="TraderX" rowHeight="241300"/>
  <slicer name="Ano 3" xr10:uid="{BDAAD177-3FAB-436C-AFFE-27103487B7D2}" cache="SegmentaçãodeDados_Ano" caption="Ano" columnCount="2" style="TraderX" rowHeight="241300"/>
  <slicer name="Ativo 4" xr10:uid="{0A3C58ED-70A4-43B3-A2A5-780CC20BFE65}" cache="SegmentaçãodeDados_Ativo1" caption="Ativo" columnCount="4" style="TraderX" rowHeight="241300"/>
  <slicer name="Tipo de Ordem 3" xr10:uid="{BD8A4F0B-B0CB-42D1-A6C5-38C56318774D}" cache="SegmentaçãodeDados_Tipo_de_Ordem" caption="Tipo de Ordem" style="TraderX" rowHeight="241300"/>
  <slicer name="Estratégia 4" xr10:uid="{45E4718F-15EC-4B7D-8502-D7BFDB965228}" cache="SegmentaçãodeDados_Estratégia1" caption="Estratégia" columnCount="3" style="TraderX" rowHeight="241300"/>
  <slicer name="Semana 3" xr10:uid="{9E2F2E40-9221-4BC2-A344-AB284AB0F117}" cache="SegmentaçãodeDados_Semana" caption="Semana" columnCount="7" style="TraderX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B3:AA8" totalsRowShown="0" headerRowDxfId="79" dataDxfId="77" headerRowBorderDxfId="78" tableBorderDxfId="76" totalsRowBorderDxfId="75">
  <tableColumns count="26">
    <tableColumn id="1" xr3:uid="{00000000-0010-0000-0000-000001000000}" name="Data" dataDxfId="74"/>
    <tableColumn id="2" xr3:uid="{00000000-0010-0000-0000-000002000000}" name="Ativo" dataDxfId="73"/>
    <tableColumn id="3" xr3:uid="{00000000-0010-0000-0000-000003000000}" name="Tipo de Ordem" dataDxfId="72"/>
    <tableColumn id="25" xr3:uid="{C3BC2AB7-659C-4646-B900-2A610C07D529}" name="Tipo de Operação" dataDxfId="71"/>
    <tableColumn id="4" xr3:uid="{00000000-0010-0000-0000-000004000000}" name="Estratégia" dataDxfId="70"/>
    <tableColumn id="5" xr3:uid="{00000000-0010-0000-0000-000005000000}" name="Lote" dataDxfId="69"/>
    <tableColumn id="6" xr3:uid="{00000000-0010-0000-0000-000006000000}" name="Balanço $" dataDxfId="68">
      <calculatedColumnFormula>IF(Tabela2[[#This Row],[Data]]&lt;&gt;"",Tabela2[[#This Row],[Balanço-1 $]],"")</calculatedColumnFormula>
    </tableColumn>
    <tableColumn id="7" xr3:uid="{00000000-0010-0000-0000-000007000000}" name="Aporte / Retirada $" dataDxfId="67"/>
    <tableColumn id="8" xr3:uid="{00000000-0010-0000-0000-000008000000}" name="Resultado $" dataDxfId="66"/>
    <tableColumn id="9" xr3:uid="{00000000-0010-0000-0000-000009000000}" name="Conclusão" dataDxfId="65"/>
    <tableColumn id="26" xr3:uid="{EA7F0F15-41CF-4599-92B6-CE1EEDFD7DBF}" name="Status" dataDxfId="64"/>
    <tableColumn id="10" xr3:uid="{00000000-0010-0000-0000-00000A000000}" name="Observações" dataDxfId="63"/>
    <tableColumn id="11" xr3:uid="{00000000-0010-0000-0000-00000B000000}" name="Dia" dataDxfId="62">
      <calculatedColumnFormula>DAY(Tabela2[[#This Row],[Data]])</calculatedColumnFormula>
    </tableColumn>
    <tableColumn id="12" xr3:uid="{00000000-0010-0000-0000-00000C000000}" name="Mês" dataDxfId="61">
      <calculatedColumnFormula>MONTH(Tabela2[[#This Row],[Data]])</calculatedColumnFormula>
    </tableColumn>
    <tableColumn id="13" xr3:uid="{00000000-0010-0000-0000-00000D000000}" name="Ano" dataDxfId="60">
      <calculatedColumnFormula>YEAR(Tabela2[[#This Row],[Data]])</calculatedColumnFormula>
    </tableColumn>
    <tableColumn id="23" xr3:uid="{00000000-0010-0000-0000-000017000000}" name="Semana" dataDxfId="59">
      <calculatedColumnFormula>WEEKNUM(Tabela2[[#This Row],[Data]],1)</calculatedColumnFormula>
    </tableColumn>
    <tableColumn id="20" xr3:uid="{00000000-0010-0000-0000-000014000000}" name="Balanço-1 $" dataDxfId="58">
      <calculatedColumnFormula>T3</calculatedColumnFormula>
    </tableColumn>
    <tableColumn id="21" xr3:uid="{00000000-0010-0000-0000-000015000000}" name="Balanço-2 $" dataDxfId="57">
      <calculatedColumnFormula>Tabela2[[#This Row],[Balanço $]]+Tabela2[[#This Row],[Aporte / Retirada $]]</calculatedColumnFormula>
    </tableColumn>
    <tableColumn id="14" xr3:uid="{00000000-0010-0000-0000-00000E000000}" name="Balanço Final $" dataDxfId="56">
      <calculatedColumnFormula>Tabela2[[#This Row],[Balanço $]]+Tabela2[[#This Row],[Aporte / Retirada $]]+Tabela2[[#This Row],[Resultado $]]</calculatedColumnFormula>
    </tableColumn>
    <tableColumn id="22" xr3:uid="{00000000-0010-0000-0000-000016000000}" name="Aporte e retirada" dataDxfId="55">
      <calculatedColumnFormula>Tabela2[[#This Row],[Aporte / Retirada $]]</calculatedColumnFormula>
    </tableColumn>
    <tableColumn id="15" xr3:uid="{00000000-0010-0000-0000-00000F000000}" name="Rentabilidade %" dataDxfId="54">
      <calculatedColumnFormula>SUM(Tabela2[[#This Row],[Resultado $]]/(Tabela2[[#This Row],[Aporte / Retirada $]]+Tabela2[[#This Row],[Balanço $]]))</calculatedColumnFormula>
    </tableColumn>
    <tableColumn id="16" xr3:uid="{00000000-0010-0000-0000-000010000000}" name="Peak" dataDxfId="53">
      <calculatedColumnFormula array="1">IF(Tabela2[[#This Row],[Balanço $]]=0,IF(Tabela2[[#This Row],[Resultado $]]&gt;0,Tabela2[[#This Row],[Balanço Final $]],Tabela2[[#This Row],[Balanço-2 $]]),IF(Tabela2[[#This Row],[Aporte / Retirada $]]=0,MAX(T4,W3),IF(Tabela2[[#This Row],[Aporte / Retirada $]]&lt;0,MAX((W3+U4),T4),IF(Tabela2[[#This Row],[Aporte / Retirada $]]&gt;0,MAX(T4,(W3+U4))))))</calculatedColumnFormula>
    </tableColumn>
    <tableColumn id="17" xr3:uid="{00000000-0010-0000-0000-000011000000}" name="Drawdown Value" dataDxfId="52">
      <calculatedColumnFormula array="1">IF(Tabela2[[#This Row],[Resultado $]]&lt;0,IF(Tabela2[[#This Row],[Balanço $]]=0,IF(T4&lt;N(W4),T4-W4,""),IF(I4&lt;0,IF(T4&lt;N(W4),T4-W4,""),IF(I4=0,IF(T4&lt;N(W4),T4-W4,""),IF(I4&gt;0,IF(((T4-U4)+J4)&lt;N(W4),W4-T4,""))))),"")</calculatedColumnFormula>
    </tableColumn>
    <tableColumn id="18" xr3:uid="{00000000-0010-0000-0000-000012000000}" name="Drawdown %" dataDxfId="51">
      <calculatedColumnFormula>IF(X4&lt;&gt;"",-X4/W4,"")</calculatedColumnFormula>
    </tableColumn>
    <tableColumn id="19" xr3:uid="{00000000-0010-0000-0000-000013000000}" name="Dia de Drawdown" dataDxfId="50">
      <calculatedColumnFormula>IF(Tabela2[[#This Row],[Drawdown %]]&lt;&gt;"",Tabela2[[#This Row],[Dia]],"")</calculatedColumnFormula>
    </tableColumn>
    <tableColumn id="24" xr3:uid="{B00F8DD3-C2BF-46E7-B716-F55CE0711F33}" name="Índice" dataDxfId="49">
      <calculatedColumnFormula>IF(AA3="Índice",1,AA3+1)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E2:AP138" totalsRowShown="0" headerRowDxfId="15" headerRowBorderDxfId="14" tableBorderDxfId="13" totalsRowBorderDxfId="12">
  <tableColumns count="12">
    <tableColumn id="1" xr3:uid="{00000000-0010-0000-0100-000001000000}" name="Ano" dataDxfId="11"/>
    <tableColumn id="2" xr3:uid="{00000000-0010-0000-0100-000002000000}" name="Mês" dataDxfId="10"/>
    <tableColumn id="4" xr3:uid="{00000000-0010-0000-0100-000004000000}" name="início mês" dataDxfId="9">
      <calculatedColumnFormula array="1">MIN(IF('Diário de Operações'!$O$4:$O$9938=AF3,IF('Diário de Operações'!$P$4:$P$9938=Dinâmicas!AE3,'Diário de Operações'!$B$4:$B$9938)))</calculatedColumnFormula>
    </tableColumn>
    <tableColumn id="5" xr3:uid="{00000000-0010-0000-0100-000005000000}" name="fim mês" dataDxfId="8">
      <calculatedColumnFormula array="1">MAX(IF('Diário de Operações'!$O$4:$O$9938=AF3,IF('Diário de Operações'!$P$4:$P$9938=Dinâmicas!AE3,'Diário de Operações'!$B$4:$B$9938)))</calculatedColumnFormula>
    </tableColumn>
    <tableColumn id="6" xr3:uid="{00000000-0010-0000-0100-000006000000}" name="Saldo início mês" dataDxfId="7">
      <calculatedColumnFormula>VLOOKUP(AG3,'Diário de Operações'!B:T,18,0)</calculatedColumnFormula>
    </tableColumn>
    <tableColumn id="7" xr3:uid="{00000000-0010-0000-0100-000007000000}" name="Aporte $" dataDxfId="6">
      <calculatedColumnFormula array="1">SUM(IF('Diário de Operações'!$O$4:$O$9938=Dinâmicas!AF3,IF('Diário de Operações'!$P$4:$P$9938=Dinâmicas!AE3,IF('Diário de Operações'!$U$4:$U$9938&gt;0,'Diário de Operações'!$U$4:$U$9938,"0"))))</calculatedColumnFormula>
    </tableColumn>
    <tableColumn id="3" xr3:uid="{D446A623-540E-4A51-88F4-8A6A7D030F42}" name="Retirada $" dataDxfId="5">
      <calculatedColumnFormula array="1">SUM(IF('Diário de Operações'!$O$4:$O$9938=Dinâmicas!AF3,IF('Diário de Operações'!$P$4:$P$9938=Dinâmicas!AE3,IF('Diário de Operações'!$U$4:$U$9938&lt;0,'Diário de Operações'!$U$4:$U$9938,"0"))))</calculatedColumnFormula>
    </tableColumn>
    <tableColumn id="8" xr3:uid="{00000000-0010-0000-0100-000008000000}" name="Saldo final mês" dataDxfId="4">
      <calculatedColumnFormula>VLOOKUP(AH3,'Diário de Operações'!B:T,19,0)</calculatedColumnFormula>
    </tableColumn>
    <tableColumn id="9" xr3:uid="{00000000-0010-0000-0100-000009000000}" name="Lucro do mês" dataDxfId="3">
      <calculatedColumnFormula>IF(AG2=AH2,AL3-(AJ3+AK3),(AL3-AI3)-(AJ3+AK3))</calculatedColumnFormula>
    </tableColumn>
    <tableColumn id="10" xr3:uid="{00000000-0010-0000-0100-00000A000000}" name="Resultado do mês %" dataDxfId="2">
      <calculatedColumnFormula>(AM3/AI3)</calculatedColumnFormula>
    </tableColumn>
    <tableColumn id="11" xr3:uid="{00000000-0010-0000-0100-00000B000000}" name="Máx Drawdown value" dataDxfId="1">
      <calculatedColumnFormula array="1">MIN(IF('Diário de Operações'!$O$4:$O$9938=AF3,IF('Diário de Operações'!$P$4:$P$9938=Dinâmicas!AE3,'Diário de Operações'!$X$4:$X$9938)))</calculatedColumnFormula>
    </tableColumn>
    <tableColumn id="12" xr3:uid="{00000000-0010-0000-0100-00000C000000}" name="Performance" dataDxfId="0">
      <calculatedColumnFormula>((AM3/AO3)/100)*-1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tx1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microsoft.com/office/2007/relationships/slicer" Target="../slicers/slicer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table" Target="../tables/table2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DAF51-6990-4680-BF30-2E425E6492BC}">
  <sheetPr codeName="Planilha1"/>
  <dimension ref="H1:P14"/>
  <sheetViews>
    <sheetView showRowColHeaders="0" tabSelected="1" topLeftCell="G1" zoomScale="120" zoomScaleNormal="120" workbookViewId="0">
      <selection activeCell="K3" sqref="K3:N4"/>
    </sheetView>
  </sheetViews>
  <sheetFormatPr defaultColWidth="9.109375" defaultRowHeight="14.4" x14ac:dyDescent="0.3"/>
  <cols>
    <col min="1" max="6" width="0" style="42" hidden="1" customWidth="1"/>
    <col min="7" max="7" width="9.6640625" style="42" customWidth="1"/>
    <col min="8" max="16384" width="9.109375" style="42"/>
  </cols>
  <sheetData>
    <row r="1" spans="8:16" ht="49.95" customHeight="1" thickBot="1" x14ac:dyDescent="0.35">
      <c r="H1" s="60"/>
      <c r="I1" s="60"/>
      <c r="J1" s="60"/>
      <c r="K1" s="60"/>
      <c r="L1" s="60"/>
      <c r="M1" s="60"/>
      <c r="N1" s="60"/>
    </row>
    <row r="2" spans="8:16" ht="31.5" customHeight="1" thickBot="1" x14ac:dyDescent="0.35">
      <c r="H2" s="152" t="s">
        <v>75</v>
      </c>
      <c r="I2" s="153"/>
      <c r="J2" s="153"/>
      <c r="K2" s="153"/>
      <c r="L2" s="153"/>
      <c r="M2" s="153"/>
      <c r="N2" s="154"/>
    </row>
    <row r="3" spans="8:16" ht="17.399999999999999" customHeight="1" x14ac:dyDescent="0.3">
      <c r="H3" s="155" t="s">
        <v>76</v>
      </c>
      <c r="I3" s="156"/>
      <c r="J3" s="156"/>
      <c r="K3" s="161">
        <v>10000</v>
      </c>
      <c r="L3" s="161"/>
      <c r="M3" s="161"/>
      <c r="N3" s="162"/>
    </row>
    <row r="4" spans="8:16" ht="17.399999999999999" customHeight="1" x14ac:dyDescent="0.3">
      <c r="H4" s="157"/>
      <c r="I4" s="158"/>
      <c r="J4" s="158"/>
      <c r="K4" s="163"/>
      <c r="L4" s="163"/>
      <c r="M4" s="163"/>
      <c r="N4" s="164"/>
    </row>
    <row r="5" spans="8:16" ht="17.399999999999999" customHeight="1" x14ac:dyDescent="0.3">
      <c r="H5" s="159" t="s">
        <v>77</v>
      </c>
      <c r="I5" s="160"/>
      <c r="J5" s="160"/>
      <c r="K5" s="165">
        <v>100</v>
      </c>
      <c r="L5" s="165"/>
      <c r="M5" s="165"/>
      <c r="N5" s="166"/>
    </row>
    <row r="6" spans="8:16" ht="17.399999999999999" customHeight="1" x14ac:dyDescent="0.3">
      <c r="H6" s="157"/>
      <c r="I6" s="158"/>
      <c r="J6" s="158"/>
      <c r="K6" s="163"/>
      <c r="L6" s="163"/>
      <c r="M6" s="163"/>
      <c r="N6" s="164"/>
    </row>
    <row r="7" spans="8:16" x14ac:dyDescent="0.3">
      <c r="H7" s="159" t="s">
        <v>79</v>
      </c>
      <c r="I7" s="160"/>
      <c r="J7" s="160"/>
      <c r="K7" s="167">
        <v>1</v>
      </c>
      <c r="L7" s="160" t="s">
        <v>80</v>
      </c>
      <c r="M7" s="167">
        <v>6</v>
      </c>
      <c r="N7" s="169" t="s">
        <v>81</v>
      </c>
      <c r="P7" s="61" t="s">
        <v>78</v>
      </c>
    </row>
    <row r="8" spans="8:16" x14ac:dyDescent="0.3">
      <c r="H8" s="157"/>
      <c r="I8" s="158"/>
      <c r="J8" s="158"/>
      <c r="K8" s="168"/>
      <c r="L8" s="158"/>
      <c r="M8" s="168"/>
      <c r="N8" s="170"/>
      <c r="P8" s="61">
        <f>(K7*12)+M7</f>
        <v>18</v>
      </c>
    </row>
    <row r="9" spans="8:16" ht="17.399999999999999" customHeight="1" x14ac:dyDescent="0.3">
      <c r="H9" s="159" t="s">
        <v>82</v>
      </c>
      <c r="I9" s="160"/>
      <c r="J9" s="160"/>
      <c r="K9" s="173">
        <v>0.05</v>
      </c>
      <c r="L9" s="173"/>
      <c r="M9" s="173"/>
      <c r="N9" s="174"/>
    </row>
    <row r="10" spans="8:16" ht="17.399999999999999" customHeight="1" x14ac:dyDescent="0.3">
      <c r="H10" s="157"/>
      <c r="I10" s="158"/>
      <c r="J10" s="158"/>
      <c r="K10" s="175"/>
      <c r="L10" s="175"/>
      <c r="M10" s="175"/>
      <c r="N10" s="176"/>
    </row>
    <row r="11" spans="8:16" ht="17.399999999999999" customHeight="1" x14ac:dyDescent="0.3">
      <c r="H11" s="159" t="s">
        <v>83</v>
      </c>
      <c r="I11" s="160"/>
      <c r="J11" s="160"/>
      <c r="K11" s="177">
        <f>ABS(FV(K9,P8,K5,K3,1))</f>
        <v>27020.092727662126</v>
      </c>
      <c r="L11" s="177"/>
      <c r="M11" s="177"/>
      <c r="N11" s="178"/>
    </row>
    <row r="12" spans="8:16" ht="17.399999999999999" customHeight="1" x14ac:dyDescent="0.3">
      <c r="H12" s="157"/>
      <c r="I12" s="158"/>
      <c r="J12" s="158"/>
      <c r="K12" s="179"/>
      <c r="L12" s="179"/>
      <c r="M12" s="179"/>
      <c r="N12" s="180"/>
    </row>
    <row r="13" spans="8:16" ht="18" customHeight="1" x14ac:dyDescent="0.3">
      <c r="H13" s="159" t="s">
        <v>84</v>
      </c>
      <c r="I13" s="160"/>
      <c r="J13" s="160"/>
      <c r="K13" s="177">
        <f>K11*K9</f>
        <v>1351.0046363831063</v>
      </c>
      <c r="L13" s="177"/>
      <c r="M13" s="177"/>
      <c r="N13" s="178"/>
    </row>
    <row r="14" spans="8:16" ht="15" thickBot="1" x14ac:dyDescent="0.35">
      <c r="H14" s="171"/>
      <c r="I14" s="172"/>
      <c r="J14" s="172"/>
      <c r="K14" s="181"/>
      <c r="L14" s="181"/>
      <c r="M14" s="181"/>
      <c r="N14" s="182"/>
    </row>
  </sheetData>
  <sheetProtection algorithmName="SHA-512" hashValue="jXMLgDwXkQczVeOK6Jn5UJ2ihmTZRrUhRODjhDSBcxwWk4kzdRn2SXplV82jmxB/sppK18CDjavgfp2ofm7kOg==" saltValue="pkQsD2kLdt1mEMaB+5h5jA==" spinCount="100000" sheet="1" objects="1" scenarios="1" selectLockedCells="1"/>
  <mergeCells count="16">
    <mergeCell ref="H9:J10"/>
    <mergeCell ref="H11:J12"/>
    <mergeCell ref="H13:J14"/>
    <mergeCell ref="K9:N10"/>
    <mergeCell ref="K11:N12"/>
    <mergeCell ref="K13:N14"/>
    <mergeCell ref="H2:N2"/>
    <mergeCell ref="H3:J4"/>
    <mergeCell ref="H5:J6"/>
    <mergeCell ref="H7:J8"/>
    <mergeCell ref="K3:N4"/>
    <mergeCell ref="K5:N6"/>
    <mergeCell ref="K7:K8"/>
    <mergeCell ref="L7:L8"/>
    <mergeCell ref="M7:M8"/>
    <mergeCell ref="N7:N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F293-1E20-4BC1-AC47-0CF632F8E34E}">
  <sheetPr codeName="Sheet1"/>
  <dimension ref="I1:V57"/>
  <sheetViews>
    <sheetView showGridLines="0" topLeftCell="H1" zoomScale="110" zoomScaleNormal="110" zoomScaleSheetLayoutView="100" workbookViewId="0">
      <selection activeCell="T13" sqref="T13:U13"/>
    </sheetView>
  </sheetViews>
  <sheetFormatPr defaultColWidth="9.109375" defaultRowHeight="14.4" x14ac:dyDescent="0.3"/>
  <cols>
    <col min="1" max="4" width="9.109375" style="42"/>
    <col min="5" max="7" width="0" style="42" hidden="1" customWidth="1"/>
    <col min="8" max="8" width="3.88671875" style="42" customWidth="1"/>
    <col min="9" max="9" width="2" style="42" customWidth="1"/>
    <col min="10" max="10" width="1.109375" style="42" customWidth="1"/>
    <col min="11" max="11" width="3.109375" style="42" customWidth="1"/>
    <col min="12" max="12" width="1.109375" style="42" customWidth="1"/>
    <col min="13" max="14" width="7.5546875" style="42" customWidth="1"/>
    <col min="15" max="15" width="12.109375" style="42" customWidth="1"/>
    <col min="16" max="17" width="1.6640625" style="42" customWidth="1"/>
    <col min="18" max="18" width="9.109375" style="42"/>
    <col min="19" max="19" width="1.6640625" style="42" customWidth="1"/>
    <col min="20" max="20" width="34.33203125" style="42" customWidth="1"/>
    <col min="21" max="21" width="24.6640625" style="42" customWidth="1"/>
    <col min="22" max="22" width="2" style="42" customWidth="1"/>
    <col min="23" max="16384" width="9.109375" style="42"/>
  </cols>
  <sheetData>
    <row r="1" spans="9:22" ht="19.95" customHeight="1" thickBot="1" x14ac:dyDescent="0.35"/>
    <row r="2" spans="9:22" ht="8.25" customHeight="1" thickBot="1" x14ac:dyDescent="0.35">
      <c r="I2" s="62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4"/>
    </row>
    <row r="3" spans="9:22" ht="29.4" thickBot="1" x14ac:dyDescent="0.35">
      <c r="I3" s="65"/>
      <c r="J3" s="183" t="s">
        <v>144</v>
      </c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5"/>
      <c r="V3" s="66"/>
    </row>
    <row r="4" spans="9:22" ht="3" customHeight="1" x14ac:dyDescent="0.3">
      <c r="I4" s="65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6"/>
    </row>
    <row r="5" spans="9:22" ht="15.6" x14ac:dyDescent="0.3">
      <c r="I5" s="65"/>
      <c r="J5" s="186" t="s">
        <v>145</v>
      </c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86"/>
      <c r="V5" s="66"/>
    </row>
    <row r="6" spans="9:22" ht="14.1" customHeight="1" x14ac:dyDescent="0.3">
      <c r="I6" s="65"/>
      <c r="J6" s="187" t="s">
        <v>85</v>
      </c>
      <c r="K6" s="187"/>
      <c r="L6" s="187"/>
      <c r="M6" s="187"/>
      <c r="N6" s="187"/>
      <c r="O6" s="187"/>
      <c r="P6" s="187"/>
      <c r="Q6" s="187"/>
      <c r="R6" s="187"/>
      <c r="S6" s="67"/>
      <c r="T6" s="188" t="s">
        <v>72</v>
      </c>
      <c r="U6" s="188"/>
      <c r="V6" s="66"/>
    </row>
    <row r="7" spans="9:22" ht="14.1" customHeight="1" x14ac:dyDescent="0.3">
      <c r="I7" s="65"/>
      <c r="J7" s="189" t="s">
        <v>86</v>
      </c>
      <c r="K7" s="189"/>
      <c r="L7" s="189"/>
      <c r="M7" s="189"/>
      <c r="N7" s="189"/>
      <c r="O7" s="189"/>
      <c r="P7" s="189"/>
      <c r="Q7" s="189"/>
      <c r="R7" s="189"/>
      <c r="S7" s="68"/>
      <c r="T7" s="190" t="s">
        <v>157</v>
      </c>
      <c r="U7" s="190"/>
      <c r="V7" s="66"/>
    </row>
    <row r="8" spans="9:22" ht="14.1" customHeight="1" x14ac:dyDescent="0.3">
      <c r="I8" s="65"/>
      <c r="J8" s="189" t="s">
        <v>87</v>
      </c>
      <c r="K8" s="189"/>
      <c r="L8" s="189"/>
      <c r="M8" s="189"/>
      <c r="N8" s="189"/>
      <c r="O8" s="189"/>
      <c r="P8" s="189"/>
      <c r="Q8" s="189"/>
      <c r="R8" s="189"/>
      <c r="S8" s="68"/>
      <c r="T8" s="190" t="s">
        <v>158</v>
      </c>
      <c r="U8" s="190"/>
      <c r="V8" s="66"/>
    </row>
    <row r="9" spans="9:22" ht="14.1" customHeight="1" x14ac:dyDescent="0.3">
      <c r="I9" s="65"/>
      <c r="J9" s="189" t="s">
        <v>88</v>
      </c>
      <c r="K9" s="189"/>
      <c r="L9" s="189"/>
      <c r="M9" s="189"/>
      <c r="N9" s="189"/>
      <c r="O9" s="189"/>
      <c r="P9" s="189"/>
      <c r="Q9" s="189"/>
      <c r="R9" s="189"/>
      <c r="S9" s="68"/>
      <c r="T9" s="191">
        <v>0.02</v>
      </c>
      <c r="U9" s="191"/>
      <c r="V9" s="66"/>
    </row>
    <row r="10" spans="9:22" ht="14.1" customHeight="1" x14ac:dyDescent="0.3">
      <c r="I10" s="65"/>
      <c r="J10" s="189" t="s">
        <v>89</v>
      </c>
      <c r="K10" s="189"/>
      <c r="L10" s="189"/>
      <c r="M10" s="189"/>
      <c r="N10" s="189"/>
      <c r="O10" s="189"/>
      <c r="P10" s="189"/>
      <c r="Q10" s="189"/>
      <c r="R10" s="189"/>
      <c r="S10" s="68"/>
      <c r="T10" s="191">
        <v>0.04</v>
      </c>
      <c r="U10" s="191"/>
      <c r="V10" s="66"/>
    </row>
    <row r="11" spans="9:22" ht="14.1" customHeight="1" x14ac:dyDescent="0.3">
      <c r="I11" s="65"/>
      <c r="J11" s="189" t="s">
        <v>90</v>
      </c>
      <c r="K11" s="189"/>
      <c r="L11" s="189"/>
      <c r="M11" s="189"/>
      <c r="N11" s="189"/>
      <c r="O11" s="189"/>
      <c r="P11" s="189"/>
      <c r="Q11" s="189"/>
      <c r="R11" s="189"/>
      <c r="S11" s="68"/>
      <c r="T11" s="191">
        <v>0.08</v>
      </c>
      <c r="U11" s="191"/>
      <c r="V11" s="66"/>
    </row>
    <row r="12" spans="9:22" ht="14.1" customHeight="1" x14ac:dyDescent="0.3">
      <c r="I12" s="65"/>
      <c r="J12" s="189" t="s">
        <v>91</v>
      </c>
      <c r="K12" s="189"/>
      <c r="L12" s="189"/>
      <c r="M12" s="189"/>
      <c r="N12" s="189"/>
      <c r="O12" s="189"/>
      <c r="P12" s="189"/>
      <c r="Q12" s="189"/>
      <c r="R12" s="189"/>
      <c r="S12" s="68"/>
      <c r="T12" s="192">
        <v>0.04</v>
      </c>
      <c r="U12" s="192"/>
      <c r="V12" s="66"/>
    </row>
    <row r="13" spans="9:22" ht="14.1" customHeight="1" x14ac:dyDescent="0.3">
      <c r="I13" s="65"/>
      <c r="J13" s="189" t="s">
        <v>92</v>
      </c>
      <c r="K13" s="189"/>
      <c r="L13" s="189"/>
      <c r="M13" s="189"/>
      <c r="N13" s="189"/>
      <c r="O13" s="189"/>
      <c r="P13" s="189"/>
      <c r="Q13" s="189"/>
      <c r="R13" s="189"/>
      <c r="S13" s="68"/>
      <c r="T13" s="192">
        <v>0.06</v>
      </c>
      <c r="U13" s="192"/>
      <c r="V13" s="66"/>
    </row>
    <row r="14" spans="9:22" ht="14.1" customHeight="1" x14ac:dyDescent="0.3">
      <c r="I14" s="65"/>
      <c r="J14" s="189" t="s">
        <v>93</v>
      </c>
      <c r="K14" s="189"/>
      <c r="L14" s="189"/>
      <c r="M14" s="189"/>
      <c r="N14" s="189"/>
      <c r="O14" s="189"/>
      <c r="P14" s="189"/>
      <c r="Q14" s="189"/>
      <c r="R14" s="189"/>
      <c r="S14" s="68"/>
      <c r="T14" s="192">
        <v>0.12</v>
      </c>
      <c r="U14" s="192"/>
      <c r="V14" s="66"/>
    </row>
    <row r="15" spans="9:22" ht="14.1" customHeight="1" x14ac:dyDescent="0.3">
      <c r="I15" s="65"/>
      <c r="J15" s="189" t="s">
        <v>94</v>
      </c>
      <c r="K15" s="189"/>
      <c r="L15" s="189"/>
      <c r="M15" s="189"/>
      <c r="N15" s="189"/>
      <c r="O15" s="189"/>
      <c r="P15" s="189"/>
      <c r="Q15" s="189"/>
      <c r="R15" s="189"/>
      <c r="S15" s="68"/>
      <c r="T15" s="193">
        <v>5.0000000000000001E-3</v>
      </c>
      <c r="U15" s="193"/>
      <c r="V15" s="66"/>
    </row>
    <row r="16" spans="9:22" ht="14.1" customHeight="1" x14ac:dyDescent="0.3">
      <c r="I16" s="65"/>
      <c r="J16" s="189" t="s">
        <v>95</v>
      </c>
      <c r="K16" s="189"/>
      <c r="L16" s="189"/>
      <c r="M16" s="189"/>
      <c r="N16" s="189"/>
      <c r="O16" s="189"/>
      <c r="P16" s="189"/>
      <c r="Q16" s="189"/>
      <c r="R16" s="189"/>
      <c r="S16" s="68"/>
      <c r="T16" s="190" t="s">
        <v>159</v>
      </c>
      <c r="U16" s="190"/>
      <c r="V16" s="66"/>
    </row>
    <row r="17" spans="9:22" ht="14.1" customHeight="1" x14ac:dyDescent="0.3">
      <c r="I17" s="65"/>
      <c r="J17" s="189" t="s">
        <v>96</v>
      </c>
      <c r="K17" s="189"/>
      <c r="L17" s="189"/>
      <c r="M17" s="189"/>
      <c r="N17" s="189"/>
      <c r="O17" s="189"/>
      <c r="P17" s="189"/>
      <c r="Q17" s="189"/>
      <c r="R17" s="189"/>
      <c r="S17" s="68"/>
      <c r="T17" s="194">
        <v>0.3</v>
      </c>
      <c r="U17" s="194"/>
      <c r="V17" s="66"/>
    </row>
    <row r="18" spans="9:22" ht="14.1" customHeight="1" x14ac:dyDescent="0.3">
      <c r="I18" s="65"/>
      <c r="J18" s="189" t="s">
        <v>97</v>
      </c>
      <c r="K18" s="189"/>
      <c r="L18" s="189"/>
      <c r="M18" s="189"/>
      <c r="N18" s="189"/>
      <c r="O18" s="189"/>
      <c r="P18" s="189"/>
      <c r="Q18" s="189"/>
      <c r="R18" s="189"/>
      <c r="S18" s="68"/>
      <c r="T18" s="194">
        <v>0.5</v>
      </c>
      <c r="U18" s="194"/>
      <c r="V18" s="66"/>
    </row>
    <row r="19" spans="9:22" ht="3" customHeight="1" x14ac:dyDescent="0.3">
      <c r="I19" s="65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6"/>
    </row>
    <row r="20" spans="9:22" ht="15.6" x14ac:dyDescent="0.3">
      <c r="I20" s="65"/>
      <c r="J20" s="186" t="s">
        <v>147</v>
      </c>
      <c r="K20" s="186"/>
      <c r="L20" s="186"/>
      <c r="M20" s="186"/>
      <c r="N20" s="186"/>
      <c r="O20" s="186"/>
      <c r="P20" s="186"/>
      <c r="Q20" s="186"/>
      <c r="R20" s="186"/>
      <c r="S20" s="186"/>
      <c r="T20" s="186"/>
      <c r="U20" s="186"/>
      <c r="V20" s="66"/>
    </row>
    <row r="21" spans="9:22" ht="3" customHeight="1" thickBot="1" x14ac:dyDescent="0.35">
      <c r="I21" s="65"/>
      <c r="J21" s="60"/>
      <c r="K21" s="60"/>
      <c r="L21" s="60"/>
      <c r="M21" s="69"/>
      <c r="N21" s="69"/>
      <c r="O21" s="69"/>
      <c r="P21" s="69"/>
      <c r="Q21" s="69"/>
      <c r="R21" s="69"/>
      <c r="S21" s="69"/>
      <c r="T21" s="69"/>
      <c r="U21" s="69"/>
      <c r="V21" s="66"/>
    </row>
    <row r="22" spans="9:22" ht="14.1" customHeight="1" thickTop="1" thickBot="1" x14ac:dyDescent="0.35">
      <c r="I22" s="65"/>
      <c r="J22" s="60"/>
      <c r="K22" s="116"/>
      <c r="L22" s="60"/>
      <c r="M22" s="195" t="s">
        <v>98</v>
      </c>
      <c r="N22" s="195"/>
      <c r="O22" s="195"/>
      <c r="P22" s="195"/>
      <c r="Q22" s="195"/>
      <c r="R22" s="195"/>
      <c r="S22" s="195"/>
      <c r="T22" s="195"/>
      <c r="U22" s="195"/>
      <c r="V22" s="66"/>
    </row>
    <row r="23" spans="9:22" ht="3" customHeight="1" thickTop="1" thickBot="1" x14ac:dyDescent="0.35">
      <c r="I23" s="65"/>
      <c r="J23" s="60"/>
      <c r="K23" s="60"/>
      <c r="L23" s="60"/>
      <c r="M23" s="100"/>
      <c r="N23" s="95"/>
      <c r="O23" s="95"/>
      <c r="P23" s="95"/>
      <c r="Q23" s="95"/>
      <c r="R23" s="95"/>
      <c r="S23" s="95"/>
      <c r="T23" s="95"/>
      <c r="U23" s="95"/>
      <c r="V23" s="66"/>
    </row>
    <row r="24" spans="9:22" ht="14.1" customHeight="1" thickTop="1" thickBot="1" x14ac:dyDescent="0.35">
      <c r="I24" s="65"/>
      <c r="J24" s="60"/>
      <c r="K24" s="116"/>
      <c r="L24" s="60"/>
      <c r="M24" s="196" t="s">
        <v>99</v>
      </c>
      <c r="N24" s="196"/>
      <c r="O24" s="196"/>
      <c r="P24" s="196"/>
      <c r="Q24" s="196"/>
      <c r="R24" s="196"/>
      <c r="S24" s="196"/>
      <c r="T24" s="196"/>
      <c r="U24" s="196"/>
      <c r="V24" s="66"/>
    </row>
    <row r="25" spans="9:22" ht="3" customHeight="1" thickTop="1" thickBot="1" x14ac:dyDescent="0.35">
      <c r="I25" s="65"/>
      <c r="J25" s="60"/>
      <c r="K25" s="60"/>
      <c r="L25" s="60"/>
      <c r="M25" s="100"/>
      <c r="N25" s="95"/>
      <c r="O25" s="95"/>
      <c r="P25" s="95"/>
      <c r="Q25" s="95"/>
      <c r="R25" s="95"/>
      <c r="S25" s="95"/>
      <c r="T25" s="95"/>
      <c r="U25" s="95"/>
      <c r="V25" s="66"/>
    </row>
    <row r="26" spans="9:22" ht="14.1" customHeight="1" thickTop="1" thickBot="1" x14ac:dyDescent="0.35">
      <c r="I26" s="65"/>
      <c r="J26" s="60"/>
      <c r="K26" s="116"/>
      <c r="L26" s="60"/>
      <c r="M26" s="196" t="s">
        <v>100</v>
      </c>
      <c r="N26" s="196"/>
      <c r="O26" s="196"/>
      <c r="P26" s="196"/>
      <c r="Q26" s="196"/>
      <c r="R26" s="196"/>
      <c r="S26" s="196"/>
      <c r="T26" s="196"/>
      <c r="U26" s="196"/>
      <c r="V26" s="66"/>
    </row>
    <row r="27" spans="9:22" ht="3" customHeight="1" thickTop="1" thickBot="1" x14ac:dyDescent="0.35">
      <c r="I27" s="65"/>
      <c r="J27" s="60"/>
      <c r="K27" s="60"/>
      <c r="L27" s="60"/>
      <c r="M27" s="100"/>
      <c r="N27" s="95"/>
      <c r="O27" s="95"/>
      <c r="P27" s="95"/>
      <c r="Q27" s="95"/>
      <c r="R27" s="95"/>
      <c r="S27" s="95"/>
      <c r="T27" s="95"/>
      <c r="U27" s="95"/>
      <c r="V27" s="66"/>
    </row>
    <row r="28" spans="9:22" ht="14.1" customHeight="1" thickTop="1" thickBot="1" x14ac:dyDescent="0.35">
      <c r="I28" s="65"/>
      <c r="J28" s="60"/>
      <c r="K28" s="116"/>
      <c r="L28" s="60"/>
      <c r="M28" s="196" t="s">
        <v>101</v>
      </c>
      <c r="N28" s="196"/>
      <c r="O28" s="196"/>
      <c r="P28" s="196"/>
      <c r="Q28" s="196"/>
      <c r="R28" s="196"/>
      <c r="S28" s="196"/>
      <c r="T28" s="196"/>
      <c r="U28" s="196"/>
      <c r="V28" s="66"/>
    </row>
    <row r="29" spans="9:22" ht="3" customHeight="1" thickTop="1" thickBot="1" x14ac:dyDescent="0.35">
      <c r="I29" s="65"/>
      <c r="J29" s="60"/>
      <c r="K29" s="60"/>
      <c r="L29" s="60"/>
      <c r="M29" s="100"/>
      <c r="N29" s="95"/>
      <c r="O29" s="95"/>
      <c r="P29" s="95"/>
      <c r="Q29" s="95"/>
      <c r="R29" s="95"/>
      <c r="S29" s="95"/>
      <c r="T29" s="95"/>
      <c r="U29" s="95"/>
      <c r="V29" s="66"/>
    </row>
    <row r="30" spans="9:22" ht="14.1" customHeight="1" thickTop="1" thickBot="1" x14ac:dyDescent="0.35">
      <c r="I30" s="65"/>
      <c r="J30" s="60"/>
      <c r="K30" s="116"/>
      <c r="L30" s="60"/>
      <c r="M30" s="196" t="s">
        <v>102</v>
      </c>
      <c r="N30" s="196"/>
      <c r="O30" s="196"/>
      <c r="P30" s="196"/>
      <c r="Q30" s="196"/>
      <c r="R30" s="196"/>
      <c r="S30" s="196"/>
      <c r="T30" s="196"/>
      <c r="U30" s="196"/>
      <c r="V30" s="66"/>
    </row>
    <row r="31" spans="9:22" ht="3" customHeight="1" thickTop="1" thickBot="1" x14ac:dyDescent="0.35">
      <c r="I31" s="65"/>
      <c r="J31" s="60"/>
      <c r="K31" s="60"/>
      <c r="L31" s="60"/>
      <c r="M31" s="100"/>
      <c r="N31" s="95"/>
      <c r="O31" s="95"/>
      <c r="P31" s="95"/>
      <c r="Q31" s="95"/>
      <c r="R31" s="95"/>
      <c r="S31" s="95"/>
      <c r="T31" s="95"/>
      <c r="U31" s="95"/>
      <c r="V31" s="66"/>
    </row>
    <row r="32" spans="9:22" ht="14.1" customHeight="1" thickTop="1" thickBot="1" x14ac:dyDescent="0.35">
      <c r="I32" s="65"/>
      <c r="J32" s="60"/>
      <c r="K32" s="116"/>
      <c r="L32" s="60"/>
      <c r="M32" s="196" t="s">
        <v>103</v>
      </c>
      <c r="N32" s="196"/>
      <c r="O32" s="196"/>
      <c r="P32" s="196"/>
      <c r="Q32" s="196"/>
      <c r="R32" s="196"/>
      <c r="S32" s="196"/>
      <c r="T32" s="196"/>
      <c r="U32" s="196"/>
      <c r="V32" s="66"/>
    </row>
    <row r="33" spans="9:22" ht="3" customHeight="1" thickTop="1" x14ac:dyDescent="0.3">
      <c r="I33" s="65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6"/>
    </row>
    <row r="34" spans="9:22" ht="15.6" x14ac:dyDescent="0.3">
      <c r="I34" s="65"/>
      <c r="J34" s="186" t="s">
        <v>146</v>
      </c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66"/>
    </row>
    <row r="35" spans="9:22" ht="14.1" customHeight="1" x14ac:dyDescent="0.3">
      <c r="I35" s="65"/>
      <c r="J35" s="187" t="s">
        <v>104</v>
      </c>
      <c r="K35" s="187"/>
      <c r="L35" s="187"/>
      <c r="M35" s="187"/>
      <c r="N35" s="187"/>
      <c r="O35" s="187"/>
      <c r="P35" s="187"/>
      <c r="Q35" s="187"/>
      <c r="R35" s="187"/>
      <c r="S35" s="67"/>
      <c r="T35" s="188" t="s">
        <v>160</v>
      </c>
      <c r="U35" s="188"/>
      <c r="V35" s="66"/>
    </row>
    <row r="36" spans="9:22" ht="14.1" customHeight="1" x14ac:dyDescent="0.3">
      <c r="I36" s="65"/>
      <c r="J36" s="187" t="s">
        <v>105</v>
      </c>
      <c r="K36" s="187"/>
      <c r="L36" s="187"/>
      <c r="M36" s="187"/>
      <c r="N36" s="187"/>
      <c r="O36" s="187"/>
      <c r="P36" s="187"/>
      <c r="Q36" s="187"/>
      <c r="R36" s="187"/>
      <c r="S36" s="68"/>
      <c r="T36" s="190" t="s">
        <v>161</v>
      </c>
      <c r="U36" s="190"/>
      <c r="V36" s="66"/>
    </row>
    <row r="37" spans="9:22" ht="14.1" customHeight="1" x14ac:dyDescent="0.3">
      <c r="I37" s="65"/>
      <c r="J37" s="189" t="s">
        <v>106</v>
      </c>
      <c r="K37" s="189"/>
      <c r="L37" s="189"/>
      <c r="M37" s="189"/>
      <c r="N37" s="189"/>
      <c r="O37" s="189"/>
      <c r="P37" s="189"/>
      <c r="Q37" s="189"/>
      <c r="R37" s="189"/>
      <c r="S37" s="68"/>
      <c r="T37" s="190" t="s">
        <v>162</v>
      </c>
      <c r="U37" s="190"/>
      <c r="V37" s="66"/>
    </row>
    <row r="38" spans="9:22" ht="14.1" customHeight="1" x14ac:dyDescent="0.3">
      <c r="I38" s="65"/>
      <c r="J38" s="189" t="s">
        <v>107</v>
      </c>
      <c r="K38" s="189"/>
      <c r="L38" s="189"/>
      <c r="M38" s="189"/>
      <c r="N38" s="189"/>
      <c r="O38" s="189"/>
      <c r="P38" s="189"/>
      <c r="Q38" s="189"/>
      <c r="R38" s="189"/>
      <c r="S38" s="68"/>
      <c r="T38" s="190" t="s">
        <v>163</v>
      </c>
      <c r="U38" s="190"/>
      <c r="V38" s="66"/>
    </row>
    <row r="39" spans="9:22" ht="14.1" customHeight="1" x14ac:dyDescent="0.3">
      <c r="I39" s="65"/>
      <c r="J39" s="189" t="s">
        <v>108</v>
      </c>
      <c r="K39" s="189"/>
      <c r="L39" s="189"/>
      <c r="M39" s="189"/>
      <c r="N39" s="189"/>
      <c r="O39" s="189"/>
      <c r="P39" s="189"/>
      <c r="Q39" s="189"/>
      <c r="R39" s="189"/>
      <c r="S39" s="68"/>
      <c r="T39" s="190" t="s">
        <v>164</v>
      </c>
      <c r="U39" s="190"/>
      <c r="V39" s="66"/>
    </row>
    <row r="40" spans="9:22" ht="14.1" customHeight="1" x14ac:dyDescent="0.3">
      <c r="I40" s="65"/>
      <c r="J40" s="189" t="s">
        <v>109</v>
      </c>
      <c r="K40" s="189"/>
      <c r="L40" s="189"/>
      <c r="M40" s="189"/>
      <c r="N40" s="189"/>
      <c r="O40" s="189"/>
      <c r="P40" s="189"/>
      <c r="Q40" s="189"/>
      <c r="R40" s="189"/>
      <c r="S40" s="68"/>
      <c r="T40" s="190" t="s">
        <v>165</v>
      </c>
      <c r="U40" s="190"/>
      <c r="V40" s="66"/>
    </row>
    <row r="41" spans="9:22" ht="3" customHeight="1" x14ac:dyDescent="0.3">
      <c r="I41" s="65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6"/>
    </row>
    <row r="42" spans="9:22" ht="15.6" x14ac:dyDescent="0.3">
      <c r="I42" s="65"/>
      <c r="J42" s="186" t="s">
        <v>110</v>
      </c>
      <c r="K42" s="186"/>
      <c r="L42" s="186"/>
      <c r="M42" s="186"/>
      <c r="N42" s="186"/>
      <c r="O42" s="186"/>
      <c r="P42" s="186"/>
      <c r="Q42" s="186"/>
      <c r="R42" s="186"/>
      <c r="S42" s="186"/>
      <c r="T42" s="186"/>
      <c r="U42" s="186"/>
      <c r="V42" s="66"/>
    </row>
    <row r="43" spans="9:22" ht="14.1" customHeight="1" x14ac:dyDescent="0.3">
      <c r="I43" s="65"/>
      <c r="J43" s="187" t="s">
        <v>111</v>
      </c>
      <c r="K43" s="187"/>
      <c r="L43" s="187"/>
      <c r="M43" s="187"/>
      <c r="N43" s="187"/>
      <c r="O43" s="187"/>
      <c r="P43" s="101"/>
      <c r="Q43" s="198" t="s">
        <v>112</v>
      </c>
      <c r="R43" s="198"/>
      <c r="S43" s="198"/>
      <c r="T43" s="198"/>
      <c r="U43" s="198"/>
      <c r="V43" s="66"/>
    </row>
    <row r="44" spans="9:22" ht="14.1" customHeight="1" x14ac:dyDescent="0.3">
      <c r="I44" s="65"/>
      <c r="J44" s="189" t="s">
        <v>113</v>
      </c>
      <c r="K44" s="189"/>
      <c r="L44" s="189"/>
      <c r="M44" s="189"/>
      <c r="N44" s="189"/>
      <c r="O44" s="189"/>
      <c r="P44" s="102"/>
      <c r="Q44" s="197" t="s">
        <v>114</v>
      </c>
      <c r="R44" s="197"/>
      <c r="S44" s="197"/>
      <c r="T44" s="197"/>
      <c r="U44" s="197"/>
      <c r="V44" s="66"/>
    </row>
    <row r="45" spans="9:22" ht="14.1" customHeight="1" x14ac:dyDescent="0.3">
      <c r="I45" s="65"/>
      <c r="J45" s="189" t="s">
        <v>115</v>
      </c>
      <c r="K45" s="189"/>
      <c r="L45" s="189"/>
      <c r="M45" s="189"/>
      <c r="N45" s="189"/>
      <c r="O45" s="189"/>
      <c r="P45" s="102"/>
      <c r="Q45" s="197" t="s">
        <v>116</v>
      </c>
      <c r="R45" s="197"/>
      <c r="S45" s="197"/>
      <c r="T45" s="197"/>
      <c r="U45" s="197"/>
      <c r="V45" s="66"/>
    </row>
    <row r="46" spans="9:22" ht="14.1" customHeight="1" x14ac:dyDescent="0.3">
      <c r="I46" s="65"/>
      <c r="J46" s="189" t="s">
        <v>117</v>
      </c>
      <c r="K46" s="189"/>
      <c r="L46" s="189"/>
      <c r="M46" s="189"/>
      <c r="N46" s="189"/>
      <c r="O46" s="189"/>
      <c r="P46" s="102"/>
      <c r="Q46" s="197" t="s">
        <v>118</v>
      </c>
      <c r="R46" s="197"/>
      <c r="S46" s="197"/>
      <c r="T46" s="197"/>
      <c r="U46" s="197"/>
      <c r="V46" s="66"/>
    </row>
    <row r="47" spans="9:22" ht="3" customHeight="1" x14ac:dyDescent="0.3">
      <c r="I47" s="65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6"/>
    </row>
    <row r="48" spans="9:22" ht="15.6" x14ac:dyDescent="0.3">
      <c r="I48" s="65"/>
      <c r="J48" s="199" t="s">
        <v>119</v>
      </c>
      <c r="K48" s="199"/>
      <c r="L48" s="199"/>
      <c r="M48" s="199"/>
      <c r="N48" s="199"/>
      <c r="O48" s="199"/>
      <c r="P48" s="199"/>
      <c r="Q48" s="199"/>
      <c r="R48" s="199"/>
      <c r="S48" s="199"/>
      <c r="T48" s="199"/>
      <c r="U48" s="199"/>
      <c r="V48" s="66"/>
    </row>
    <row r="49" spans="9:22" ht="5.0999999999999996" customHeight="1" x14ac:dyDescent="0.3">
      <c r="I49" s="65"/>
      <c r="J49" s="70"/>
      <c r="K49" s="70"/>
      <c r="L49" s="70"/>
      <c r="M49" s="70"/>
      <c r="N49" s="70"/>
      <c r="O49" s="70"/>
      <c r="P49" s="70"/>
      <c r="Q49" s="70"/>
      <c r="R49" s="70"/>
      <c r="S49" s="70"/>
      <c r="T49" s="70"/>
      <c r="U49" s="70"/>
      <c r="V49" s="66"/>
    </row>
    <row r="50" spans="9:22" ht="21" customHeight="1" x14ac:dyDescent="0.3">
      <c r="I50" s="65"/>
      <c r="J50" s="200" t="s">
        <v>167</v>
      </c>
      <c r="K50" s="200"/>
      <c r="L50" s="200"/>
      <c r="M50" s="200"/>
      <c r="N50" s="200"/>
      <c r="O50" s="200"/>
      <c r="P50" s="200"/>
      <c r="Q50" s="200"/>
      <c r="R50" s="200"/>
      <c r="S50" s="200"/>
      <c r="T50" s="200"/>
      <c r="U50" s="200"/>
      <c r="V50" s="66"/>
    </row>
    <row r="51" spans="9:22" ht="21" customHeight="1" x14ac:dyDescent="0.3">
      <c r="I51" s="65"/>
      <c r="J51" s="200"/>
      <c r="K51" s="200"/>
      <c r="L51" s="200"/>
      <c r="M51" s="200"/>
      <c r="N51" s="200"/>
      <c r="O51" s="200"/>
      <c r="P51" s="200"/>
      <c r="Q51" s="200"/>
      <c r="R51" s="200"/>
      <c r="S51" s="200"/>
      <c r="T51" s="200"/>
      <c r="U51" s="200"/>
      <c r="V51" s="66"/>
    </row>
    <row r="52" spans="9:22" ht="21" customHeight="1" x14ac:dyDescent="0.3">
      <c r="I52" s="65"/>
      <c r="J52" s="200"/>
      <c r="K52" s="200"/>
      <c r="L52" s="200"/>
      <c r="M52" s="200"/>
      <c r="N52" s="200"/>
      <c r="O52" s="200"/>
      <c r="P52" s="200"/>
      <c r="Q52" s="200"/>
      <c r="R52" s="200"/>
      <c r="S52" s="200"/>
      <c r="T52" s="200"/>
      <c r="U52" s="200"/>
      <c r="V52" s="66"/>
    </row>
    <row r="53" spans="9:22" ht="21" customHeight="1" x14ac:dyDescent="0.3">
      <c r="I53" s="65"/>
      <c r="J53" s="200"/>
      <c r="K53" s="200"/>
      <c r="L53" s="200"/>
      <c r="M53" s="200"/>
      <c r="N53" s="200"/>
      <c r="O53" s="200"/>
      <c r="P53" s="200"/>
      <c r="Q53" s="200"/>
      <c r="R53" s="200"/>
      <c r="S53" s="200"/>
      <c r="T53" s="200"/>
      <c r="U53" s="200"/>
      <c r="V53" s="66"/>
    </row>
    <row r="54" spans="9:22" ht="3" customHeight="1" thickBot="1" x14ac:dyDescent="0.35">
      <c r="I54" s="65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6"/>
    </row>
    <row r="55" spans="9:22" x14ac:dyDescent="0.3">
      <c r="I55" s="65"/>
      <c r="J55" s="201" t="s">
        <v>120</v>
      </c>
      <c r="K55" s="202"/>
      <c r="L55" s="202"/>
      <c r="M55" s="202"/>
      <c r="N55" s="202"/>
      <c r="O55" s="202"/>
      <c r="P55" s="202"/>
      <c r="Q55" s="202"/>
      <c r="R55" s="202"/>
      <c r="S55" s="202"/>
      <c r="T55" s="202"/>
      <c r="U55" s="203"/>
      <c r="V55" s="66"/>
    </row>
    <row r="56" spans="9:22" ht="15" thickBot="1" x14ac:dyDescent="0.35">
      <c r="I56" s="65"/>
      <c r="J56" s="204"/>
      <c r="K56" s="205"/>
      <c r="L56" s="205"/>
      <c r="M56" s="205"/>
      <c r="N56" s="205"/>
      <c r="O56" s="205"/>
      <c r="P56" s="205"/>
      <c r="Q56" s="205"/>
      <c r="R56" s="205"/>
      <c r="S56" s="205"/>
      <c r="T56" s="205"/>
      <c r="U56" s="206"/>
      <c r="V56" s="66"/>
    </row>
    <row r="57" spans="9:22" ht="8.25" customHeight="1" thickBot="1" x14ac:dyDescent="0.35">
      <c r="I57" s="71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3"/>
    </row>
  </sheetData>
  <sheetProtection formatCells="0" selectLockedCells="1"/>
  <mergeCells count="60">
    <mergeCell ref="J46:O46"/>
    <mergeCell ref="Q46:U46"/>
    <mergeCell ref="J48:U48"/>
    <mergeCell ref="J50:U53"/>
    <mergeCell ref="J55:U56"/>
    <mergeCell ref="J45:O45"/>
    <mergeCell ref="Q45:U45"/>
    <mergeCell ref="J38:R38"/>
    <mergeCell ref="T38:U38"/>
    <mergeCell ref="J39:R39"/>
    <mergeCell ref="T39:U39"/>
    <mergeCell ref="J40:R40"/>
    <mergeCell ref="T40:U40"/>
    <mergeCell ref="J42:U42"/>
    <mergeCell ref="J43:O43"/>
    <mergeCell ref="Q43:U43"/>
    <mergeCell ref="J44:O44"/>
    <mergeCell ref="Q44:U44"/>
    <mergeCell ref="J35:R35"/>
    <mergeCell ref="T35:U35"/>
    <mergeCell ref="J36:R36"/>
    <mergeCell ref="T36:U36"/>
    <mergeCell ref="J37:R37"/>
    <mergeCell ref="T37:U37"/>
    <mergeCell ref="J34:U34"/>
    <mergeCell ref="J17:R17"/>
    <mergeCell ref="T17:U17"/>
    <mergeCell ref="J18:R18"/>
    <mergeCell ref="T18:U18"/>
    <mergeCell ref="J20:U20"/>
    <mergeCell ref="M22:U22"/>
    <mergeCell ref="M24:U24"/>
    <mergeCell ref="M26:U26"/>
    <mergeCell ref="M28:U28"/>
    <mergeCell ref="M30:U30"/>
    <mergeCell ref="M32:U32"/>
    <mergeCell ref="J14:R14"/>
    <mergeCell ref="T14:U14"/>
    <mergeCell ref="J15:R15"/>
    <mergeCell ref="T15:U15"/>
    <mergeCell ref="J16:R16"/>
    <mergeCell ref="T16:U16"/>
    <mergeCell ref="J11:R11"/>
    <mergeCell ref="T11:U11"/>
    <mergeCell ref="J12:R12"/>
    <mergeCell ref="T12:U12"/>
    <mergeCell ref="J13:R13"/>
    <mergeCell ref="T13:U13"/>
    <mergeCell ref="J8:R8"/>
    <mergeCell ref="T8:U8"/>
    <mergeCell ref="J9:R9"/>
    <mergeCell ref="T9:U9"/>
    <mergeCell ref="J10:R10"/>
    <mergeCell ref="T10:U10"/>
    <mergeCell ref="J3:U3"/>
    <mergeCell ref="J5:U5"/>
    <mergeCell ref="J6:R6"/>
    <mergeCell ref="T6:U6"/>
    <mergeCell ref="J7:R7"/>
    <mergeCell ref="T7:U7"/>
  </mergeCells>
  <printOptions horizontalCentered="1" verticalCentered="1"/>
  <pageMargins left="0.25" right="0.25" top="0.5" bottom="0.25" header="0.3" footer="0.3"/>
  <pageSetup paperSize="9" scale="96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2C3EFCA-347C-4DD3-BD41-D0A66613F414}">
          <x14:formula1>
            <xm:f>Padrões!$D$1:$D$12</xm:f>
          </x14:formula1>
          <xm:sqref>T6:U6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60B9F-4701-4A97-A483-AC7DACEB9CAC}">
  <sheetPr codeName="Sheet2"/>
  <dimension ref="C1:AG117"/>
  <sheetViews>
    <sheetView showGridLines="0" zoomScale="80" zoomScaleNormal="80" zoomScaleSheetLayoutView="100" workbookViewId="0">
      <selection activeCell="D3" sqref="D3:P3"/>
    </sheetView>
  </sheetViews>
  <sheetFormatPr defaultColWidth="9.109375" defaultRowHeight="14.4" x14ac:dyDescent="0.3"/>
  <cols>
    <col min="1" max="2" width="2.6640625" style="42" customWidth="1"/>
    <col min="3" max="3" width="1.6640625" style="42" customWidth="1"/>
    <col min="4" max="4" width="1.109375" style="42" customWidth="1"/>
    <col min="5" max="5" width="3.33203125" style="42" customWidth="1"/>
    <col min="6" max="6" width="1.109375" style="42" customWidth="1"/>
    <col min="7" max="15" width="9.109375" style="42"/>
    <col min="16" max="16" width="8.44140625" style="42" customWidth="1"/>
    <col min="17" max="17" width="1.5546875" style="42" customWidth="1"/>
    <col min="18" max="18" width="9.109375" style="42"/>
    <col min="19" max="19" width="1.5546875" style="42" customWidth="1"/>
    <col min="20" max="20" width="1.6640625" style="42" customWidth="1"/>
    <col min="21" max="21" width="3.33203125" style="42" customWidth="1"/>
    <col min="22" max="22" width="1.109375" style="42" customWidth="1"/>
    <col min="23" max="23" width="9.109375" style="42" customWidth="1"/>
    <col min="24" max="32" width="9.109375" style="42"/>
    <col min="33" max="33" width="1.5546875" style="42" customWidth="1"/>
    <col min="34" max="16384" width="9.109375" style="42"/>
  </cols>
  <sheetData>
    <row r="1" spans="3:33" ht="19.95" customHeight="1" thickBot="1" x14ac:dyDescent="0.35"/>
    <row r="2" spans="3:33" ht="8.25" customHeight="1" thickBot="1" x14ac:dyDescent="0.35">
      <c r="C2" s="62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4"/>
      <c r="S2" s="74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6"/>
    </row>
    <row r="3" spans="3:33" ht="29.4" thickBot="1" x14ac:dyDescent="0.35">
      <c r="C3" s="65"/>
      <c r="D3" s="183" t="s">
        <v>121</v>
      </c>
      <c r="E3" s="184"/>
      <c r="F3" s="184"/>
      <c r="G3" s="184" t="s">
        <v>122</v>
      </c>
      <c r="H3" s="184"/>
      <c r="I3" s="184"/>
      <c r="J3" s="184"/>
      <c r="K3" s="184"/>
      <c r="L3" s="184"/>
      <c r="M3" s="184"/>
      <c r="N3" s="184"/>
      <c r="O3" s="184"/>
      <c r="P3" s="185"/>
      <c r="Q3" s="66"/>
      <c r="S3" s="77"/>
      <c r="T3" s="207" t="s">
        <v>23</v>
      </c>
      <c r="U3" s="208"/>
      <c r="V3" s="208"/>
      <c r="W3" s="208" t="s">
        <v>122</v>
      </c>
      <c r="X3" s="208"/>
      <c r="Y3" s="208"/>
      <c r="Z3" s="208"/>
      <c r="AA3" s="208"/>
      <c r="AB3" s="208"/>
      <c r="AC3" s="208"/>
      <c r="AD3" s="208"/>
      <c r="AE3" s="208"/>
      <c r="AF3" s="209"/>
      <c r="AG3" s="78"/>
    </row>
    <row r="4" spans="3:33" ht="5.25" customHeight="1" thickBot="1" x14ac:dyDescent="0.35">
      <c r="C4" s="65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6"/>
      <c r="S4" s="77"/>
      <c r="AG4" s="78"/>
    </row>
    <row r="5" spans="3:33" ht="15.9" customHeight="1" thickBot="1" x14ac:dyDescent="0.35">
      <c r="C5" s="65"/>
      <c r="D5" s="210" t="s">
        <v>150</v>
      </c>
      <c r="E5" s="210"/>
      <c r="F5" s="210"/>
      <c r="G5" s="210" t="s">
        <v>122</v>
      </c>
      <c r="H5" s="210"/>
      <c r="I5" s="210"/>
      <c r="J5" s="210"/>
      <c r="K5" s="210"/>
      <c r="L5" s="210"/>
      <c r="M5" s="210"/>
      <c r="N5" s="210"/>
      <c r="O5" s="210"/>
      <c r="P5" s="210"/>
      <c r="Q5" s="66"/>
      <c r="S5" s="77"/>
      <c r="T5" s="211" t="s">
        <v>149</v>
      </c>
      <c r="U5" s="212"/>
      <c r="V5" s="212"/>
      <c r="W5" s="212"/>
      <c r="X5" s="212"/>
      <c r="Y5" s="212"/>
      <c r="Z5" s="212"/>
      <c r="AA5" s="212"/>
      <c r="AB5" s="212"/>
      <c r="AC5" s="212"/>
      <c r="AD5" s="212"/>
      <c r="AE5" s="212"/>
      <c r="AF5" s="213"/>
      <c r="AG5" s="78"/>
    </row>
    <row r="6" spans="3:33" ht="3" customHeight="1" thickBot="1" x14ac:dyDescent="0.35">
      <c r="C6" s="65"/>
      <c r="D6" s="79"/>
      <c r="E6" s="79"/>
      <c r="F6" s="79"/>
      <c r="G6" s="80"/>
      <c r="H6" s="79"/>
      <c r="I6" s="79"/>
      <c r="J6" s="79"/>
      <c r="K6" s="79"/>
      <c r="L6" s="79"/>
      <c r="M6" s="79"/>
      <c r="N6" s="79"/>
      <c r="O6" s="79"/>
      <c r="P6" s="79"/>
      <c r="Q6" s="66"/>
      <c r="S6" s="77"/>
      <c r="AG6" s="78"/>
    </row>
    <row r="7" spans="3:33" ht="15.9" customHeight="1" thickBot="1" x14ac:dyDescent="0.35">
      <c r="C7" s="65"/>
      <c r="D7" s="79"/>
      <c r="E7" s="81"/>
      <c r="F7" s="82"/>
      <c r="G7" s="214"/>
      <c r="H7" s="214"/>
      <c r="I7" s="214"/>
      <c r="J7" s="214"/>
      <c r="K7" s="214"/>
      <c r="L7" s="214"/>
      <c r="M7" s="214"/>
      <c r="N7" s="214"/>
      <c r="O7" s="214"/>
      <c r="P7" s="214"/>
      <c r="Q7" s="66"/>
      <c r="S7" s="77"/>
      <c r="T7" s="215" t="s">
        <v>123</v>
      </c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78"/>
    </row>
    <row r="8" spans="3:33" ht="3" customHeight="1" thickBot="1" x14ac:dyDescent="0.35">
      <c r="C8" s="65"/>
      <c r="D8" s="79"/>
      <c r="E8" s="83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66"/>
      <c r="S8" s="77"/>
      <c r="AG8" s="78"/>
    </row>
    <row r="9" spans="3:33" ht="15.9" customHeight="1" thickBot="1" x14ac:dyDescent="0.35">
      <c r="C9" s="65"/>
      <c r="D9" s="79"/>
      <c r="E9" s="81"/>
      <c r="F9" s="82"/>
      <c r="G9" s="214"/>
      <c r="H9" s="214"/>
      <c r="I9" s="214"/>
      <c r="J9" s="214"/>
      <c r="K9" s="214"/>
      <c r="L9" s="214"/>
      <c r="M9" s="214"/>
      <c r="N9" s="214"/>
      <c r="O9" s="214"/>
      <c r="P9" s="214"/>
      <c r="Q9" s="66"/>
      <c r="S9" s="77"/>
      <c r="U9" s="114"/>
      <c r="W9" s="216" t="s">
        <v>124</v>
      </c>
      <c r="X9" s="216"/>
      <c r="Y9" s="216"/>
      <c r="Z9" s="216"/>
      <c r="AA9" s="216"/>
      <c r="AB9" s="216"/>
      <c r="AC9" s="216"/>
      <c r="AD9" s="216"/>
      <c r="AE9" s="216"/>
      <c r="AF9" s="216"/>
      <c r="AG9" s="78"/>
    </row>
    <row r="10" spans="3:33" ht="3" customHeight="1" thickBot="1" x14ac:dyDescent="0.35">
      <c r="C10" s="65"/>
      <c r="D10" s="79"/>
      <c r="E10" s="83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66"/>
      <c r="S10" s="77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78"/>
    </row>
    <row r="11" spans="3:33" ht="15.9" customHeight="1" thickBot="1" x14ac:dyDescent="0.35">
      <c r="C11" s="65"/>
      <c r="D11" s="79"/>
      <c r="E11" s="81"/>
      <c r="F11" s="82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66"/>
      <c r="S11" s="77"/>
      <c r="U11" s="114"/>
      <c r="W11" s="216" t="s">
        <v>125</v>
      </c>
      <c r="X11" s="216"/>
      <c r="Y11" s="216"/>
      <c r="Z11" s="216"/>
      <c r="AA11" s="216"/>
      <c r="AB11" s="216"/>
      <c r="AC11" s="216"/>
      <c r="AD11" s="216"/>
      <c r="AE11" s="216"/>
      <c r="AF11" s="216"/>
      <c r="AG11" s="78"/>
    </row>
    <row r="12" spans="3:33" ht="3" customHeight="1" thickBot="1" x14ac:dyDescent="0.35">
      <c r="C12" s="65"/>
      <c r="D12" s="79"/>
      <c r="E12" s="83"/>
      <c r="F12" s="82"/>
      <c r="G12" s="82"/>
      <c r="H12" s="82"/>
      <c r="I12" s="82"/>
      <c r="J12" s="82"/>
      <c r="K12" s="82"/>
      <c r="L12" s="82"/>
      <c r="M12" s="82"/>
      <c r="N12" s="82"/>
      <c r="O12" s="82"/>
      <c r="P12" s="82"/>
      <c r="Q12" s="66"/>
      <c r="S12" s="77"/>
      <c r="W12" s="103"/>
      <c r="X12" s="103"/>
      <c r="Y12" s="103"/>
      <c r="Z12" s="103"/>
      <c r="AA12" s="103"/>
      <c r="AB12" s="103"/>
      <c r="AC12" s="103"/>
      <c r="AD12" s="103"/>
      <c r="AE12" s="103"/>
      <c r="AF12" s="103"/>
      <c r="AG12" s="78"/>
    </row>
    <row r="13" spans="3:33" ht="15.9" customHeight="1" thickBot="1" x14ac:dyDescent="0.35">
      <c r="C13" s="65"/>
      <c r="D13" s="79"/>
      <c r="E13" s="81"/>
      <c r="F13" s="82"/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66"/>
      <c r="S13" s="77"/>
      <c r="U13" s="114"/>
      <c r="W13" s="216" t="s">
        <v>126</v>
      </c>
      <c r="X13" s="216"/>
      <c r="Y13" s="216"/>
      <c r="Z13" s="216"/>
      <c r="AA13" s="216"/>
      <c r="AB13" s="216"/>
      <c r="AC13" s="216"/>
      <c r="AD13" s="216"/>
      <c r="AE13" s="216"/>
      <c r="AF13" s="216"/>
      <c r="AG13" s="78"/>
    </row>
    <row r="14" spans="3:33" ht="3" customHeight="1" thickBot="1" x14ac:dyDescent="0.35">
      <c r="C14" s="65"/>
      <c r="D14" s="79"/>
      <c r="E14" s="79"/>
      <c r="F14" s="79"/>
      <c r="G14" s="80"/>
      <c r="H14" s="79"/>
      <c r="I14" s="79"/>
      <c r="J14" s="79"/>
      <c r="K14" s="79"/>
      <c r="L14" s="79"/>
      <c r="M14" s="79"/>
      <c r="N14" s="79"/>
      <c r="O14" s="79"/>
      <c r="P14" s="79"/>
      <c r="Q14" s="66"/>
      <c r="S14" s="77"/>
      <c r="AG14" s="78"/>
    </row>
    <row r="15" spans="3:33" ht="15.9" customHeight="1" thickBot="1" x14ac:dyDescent="0.35">
      <c r="C15" s="65"/>
      <c r="D15" s="79"/>
      <c r="E15" s="81"/>
      <c r="F15" s="82"/>
      <c r="G15" s="214"/>
      <c r="H15" s="214"/>
      <c r="I15" s="214"/>
      <c r="J15" s="214"/>
      <c r="K15" s="214"/>
      <c r="L15" s="214"/>
      <c r="M15" s="214"/>
      <c r="N15" s="214"/>
      <c r="O15" s="214"/>
      <c r="P15" s="214"/>
      <c r="Q15" s="66"/>
      <c r="S15" s="77"/>
      <c r="T15" s="215" t="s">
        <v>127</v>
      </c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78"/>
    </row>
    <row r="16" spans="3:33" ht="3" customHeight="1" thickBot="1" x14ac:dyDescent="0.35">
      <c r="C16" s="65"/>
      <c r="D16" s="79"/>
      <c r="E16" s="79"/>
      <c r="F16" s="79"/>
      <c r="G16" s="80"/>
      <c r="H16" s="79"/>
      <c r="I16" s="79"/>
      <c r="J16" s="79"/>
      <c r="K16" s="79"/>
      <c r="L16" s="79"/>
      <c r="M16" s="79"/>
      <c r="N16" s="79"/>
      <c r="O16" s="79"/>
      <c r="P16" s="79"/>
      <c r="Q16" s="66"/>
      <c r="S16" s="77"/>
      <c r="AG16" s="78"/>
    </row>
    <row r="17" spans="3:33" s="87" customFormat="1" ht="15.9" customHeight="1" thickBot="1" x14ac:dyDescent="0.35">
      <c r="C17" s="85"/>
      <c r="D17" s="82"/>
      <c r="E17" s="81"/>
      <c r="F17" s="82"/>
      <c r="G17" s="214"/>
      <c r="H17" s="214"/>
      <c r="I17" s="214"/>
      <c r="J17" s="214"/>
      <c r="K17" s="214"/>
      <c r="L17" s="214"/>
      <c r="M17" s="214"/>
      <c r="N17" s="214"/>
      <c r="O17" s="214"/>
      <c r="P17" s="214"/>
      <c r="Q17" s="86"/>
      <c r="S17" s="88"/>
      <c r="U17" s="115"/>
      <c r="W17" s="217" t="s">
        <v>128</v>
      </c>
      <c r="X17" s="217"/>
      <c r="Y17" s="217"/>
      <c r="Z17" s="217"/>
      <c r="AA17" s="217"/>
      <c r="AB17" s="217"/>
      <c r="AC17" s="217"/>
      <c r="AD17" s="217"/>
      <c r="AE17" s="217"/>
      <c r="AF17" s="217"/>
      <c r="AG17" s="89"/>
    </row>
    <row r="18" spans="3:33" ht="3" customHeight="1" thickBot="1" x14ac:dyDescent="0.35">
      <c r="C18" s="65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66"/>
      <c r="S18" s="77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78"/>
    </row>
    <row r="19" spans="3:33" ht="15.9" customHeight="1" thickBot="1" x14ac:dyDescent="0.35">
      <c r="C19" s="65"/>
      <c r="D19" s="79"/>
      <c r="E19" s="81"/>
      <c r="F19" s="82"/>
      <c r="G19" s="214"/>
      <c r="H19" s="214"/>
      <c r="I19" s="214"/>
      <c r="J19" s="214"/>
      <c r="K19" s="214"/>
      <c r="L19" s="214"/>
      <c r="M19" s="214"/>
      <c r="N19" s="214"/>
      <c r="O19" s="214"/>
      <c r="P19" s="214"/>
      <c r="Q19" s="66"/>
      <c r="S19" s="77"/>
      <c r="U19" s="114"/>
      <c r="W19" s="217" t="s">
        <v>129</v>
      </c>
      <c r="X19" s="217"/>
      <c r="Y19" s="217"/>
      <c r="Z19" s="217"/>
      <c r="AA19" s="217"/>
      <c r="AB19" s="217"/>
      <c r="AC19" s="217"/>
      <c r="AD19" s="217"/>
      <c r="AE19" s="217"/>
      <c r="AF19" s="217"/>
      <c r="AG19" s="78"/>
    </row>
    <row r="20" spans="3:33" ht="3" customHeight="1" thickBot="1" x14ac:dyDescent="0.35">
      <c r="C20" s="65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66"/>
      <c r="S20" s="77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78"/>
    </row>
    <row r="21" spans="3:33" ht="15.9" customHeight="1" thickBot="1" x14ac:dyDescent="0.35">
      <c r="C21" s="65"/>
      <c r="D21" s="210" t="s">
        <v>153</v>
      </c>
      <c r="E21" s="210"/>
      <c r="F21" s="210"/>
      <c r="G21" s="210" t="s">
        <v>130</v>
      </c>
      <c r="H21" s="210"/>
      <c r="I21" s="210"/>
      <c r="J21" s="210"/>
      <c r="K21" s="210"/>
      <c r="L21" s="210"/>
      <c r="M21" s="210"/>
      <c r="N21" s="210"/>
      <c r="O21" s="210"/>
      <c r="P21" s="210"/>
      <c r="Q21" s="66"/>
      <c r="S21" s="77"/>
      <c r="U21" s="114"/>
      <c r="W21" s="217" t="s">
        <v>126</v>
      </c>
      <c r="X21" s="217"/>
      <c r="Y21" s="217"/>
      <c r="Z21" s="217"/>
      <c r="AA21" s="217"/>
      <c r="AB21" s="217"/>
      <c r="AC21" s="217"/>
      <c r="AD21" s="217"/>
      <c r="AE21" s="217"/>
      <c r="AF21" s="217"/>
      <c r="AG21" s="78"/>
    </row>
    <row r="22" spans="3:33" ht="3" customHeight="1" thickBot="1" x14ac:dyDescent="0.35">
      <c r="C22" s="65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66"/>
      <c r="S22" s="77"/>
      <c r="AG22" s="78"/>
    </row>
    <row r="23" spans="3:33" ht="15.9" customHeight="1" thickBot="1" x14ac:dyDescent="0.35">
      <c r="C23" s="65"/>
      <c r="D23" s="90"/>
      <c r="E23" s="81"/>
      <c r="F23" s="82"/>
      <c r="G23" s="214"/>
      <c r="H23" s="214"/>
      <c r="I23" s="214"/>
      <c r="J23" s="214"/>
      <c r="K23" s="214"/>
      <c r="L23" s="214"/>
      <c r="M23" s="214"/>
      <c r="N23" s="214"/>
      <c r="O23" s="214"/>
      <c r="P23" s="214"/>
      <c r="Q23" s="66"/>
      <c r="S23" s="77"/>
      <c r="T23" s="215" t="s">
        <v>131</v>
      </c>
      <c r="U23" s="215"/>
      <c r="V23" s="215"/>
      <c r="W23" s="215"/>
      <c r="X23" s="215"/>
      <c r="Y23" s="215"/>
      <c r="Z23" s="215"/>
      <c r="AA23" s="215"/>
      <c r="AB23" s="215"/>
      <c r="AC23" s="215"/>
      <c r="AD23" s="215"/>
      <c r="AE23" s="215"/>
      <c r="AF23" s="215"/>
      <c r="AG23" s="78"/>
    </row>
    <row r="24" spans="3:33" ht="3" customHeight="1" thickBot="1" x14ac:dyDescent="0.35">
      <c r="C24" s="65"/>
      <c r="D24" s="90"/>
      <c r="E24" s="83"/>
      <c r="F24" s="82"/>
      <c r="G24" s="82"/>
      <c r="H24" s="82"/>
      <c r="I24" s="82"/>
      <c r="J24" s="82"/>
      <c r="K24" s="82"/>
      <c r="L24" s="82"/>
      <c r="M24" s="82"/>
      <c r="N24" s="82"/>
      <c r="O24" s="82"/>
      <c r="P24" s="82"/>
      <c r="Q24" s="66"/>
      <c r="S24" s="77"/>
      <c r="AG24" s="78"/>
    </row>
    <row r="25" spans="3:33" ht="15.9" customHeight="1" thickBot="1" x14ac:dyDescent="0.35">
      <c r="C25" s="65"/>
      <c r="D25" s="90"/>
      <c r="E25" s="81"/>
      <c r="F25" s="82"/>
      <c r="G25" s="214"/>
      <c r="H25" s="214"/>
      <c r="I25" s="214"/>
      <c r="J25" s="214"/>
      <c r="K25" s="214"/>
      <c r="L25" s="214"/>
      <c r="M25" s="214"/>
      <c r="N25" s="214"/>
      <c r="O25" s="214"/>
      <c r="P25" s="214"/>
      <c r="Q25" s="66"/>
      <c r="S25" s="77"/>
      <c r="U25" s="114"/>
      <c r="W25" s="217" t="s">
        <v>132</v>
      </c>
      <c r="X25" s="217"/>
      <c r="Y25" s="217"/>
      <c r="Z25" s="217"/>
      <c r="AA25" s="217"/>
      <c r="AB25" s="217"/>
      <c r="AC25" s="217"/>
      <c r="AD25" s="217"/>
      <c r="AE25" s="217"/>
      <c r="AF25" s="217"/>
      <c r="AG25" s="78"/>
    </row>
    <row r="26" spans="3:33" ht="3" customHeight="1" thickBot="1" x14ac:dyDescent="0.35">
      <c r="C26" s="65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66"/>
      <c r="S26" s="77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78"/>
    </row>
    <row r="27" spans="3:33" ht="15.9" customHeight="1" thickBot="1" x14ac:dyDescent="0.35">
      <c r="C27" s="65"/>
      <c r="D27" s="90"/>
      <c r="E27" s="81"/>
      <c r="F27" s="82"/>
      <c r="G27" s="214"/>
      <c r="H27" s="214"/>
      <c r="I27" s="214"/>
      <c r="J27" s="214"/>
      <c r="K27" s="214"/>
      <c r="L27" s="214"/>
      <c r="M27" s="214"/>
      <c r="N27" s="214"/>
      <c r="O27" s="214"/>
      <c r="P27" s="214"/>
      <c r="Q27" s="66"/>
      <c r="S27" s="77"/>
      <c r="U27" s="114"/>
      <c r="W27" s="217" t="s">
        <v>133</v>
      </c>
      <c r="X27" s="217"/>
      <c r="Y27" s="217"/>
      <c r="Z27" s="217"/>
      <c r="AA27" s="217"/>
      <c r="AB27" s="217"/>
      <c r="AC27" s="217"/>
      <c r="AD27" s="217"/>
      <c r="AE27" s="217"/>
      <c r="AF27" s="217"/>
      <c r="AG27" s="78"/>
    </row>
    <row r="28" spans="3:33" ht="3" customHeight="1" thickBot="1" x14ac:dyDescent="0.35">
      <c r="C28" s="65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66"/>
      <c r="S28" s="77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78"/>
    </row>
    <row r="29" spans="3:33" ht="15.9" customHeight="1" thickBot="1" x14ac:dyDescent="0.35">
      <c r="C29" s="65"/>
      <c r="D29" s="90"/>
      <c r="E29" s="81"/>
      <c r="F29" s="82"/>
      <c r="G29" s="214"/>
      <c r="H29" s="214"/>
      <c r="I29" s="214"/>
      <c r="J29" s="214"/>
      <c r="K29" s="214"/>
      <c r="L29" s="214"/>
      <c r="M29" s="214"/>
      <c r="N29" s="214"/>
      <c r="O29" s="214"/>
      <c r="P29" s="214"/>
      <c r="Q29" s="66"/>
      <c r="S29" s="77"/>
      <c r="U29" s="114"/>
      <c r="W29" s="217" t="s">
        <v>134</v>
      </c>
      <c r="X29" s="217"/>
      <c r="Y29" s="217"/>
      <c r="Z29" s="217"/>
      <c r="AA29" s="217"/>
      <c r="AB29" s="217"/>
      <c r="AC29" s="217"/>
      <c r="AD29" s="217"/>
      <c r="AE29" s="217"/>
      <c r="AF29" s="217"/>
      <c r="AG29" s="78"/>
    </row>
    <row r="30" spans="3:33" ht="3" customHeight="1" thickBot="1" x14ac:dyDescent="0.35">
      <c r="C30" s="65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66"/>
      <c r="S30" s="77"/>
      <c r="AG30" s="78"/>
    </row>
    <row r="31" spans="3:33" s="87" customFormat="1" ht="15.9" customHeight="1" thickBot="1" x14ac:dyDescent="0.35">
      <c r="C31" s="85"/>
      <c r="D31" s="82"/>
      <c r="E31" s="81"/>
      <c r="F31" s="82"/>
      <c r="G31" s="214"/>
      <c r="H31" s="214"/>
      <c r="I31" s="214"/>
      <c r="J31" s="214"/>
      <c r="K31" s="214"/>
      <c r="L31" s="214"/>
      <c r="M31" s="214"/>
      <c r="N31" s="214"/>
      <c r="O31" s="214"/>
      <c r="P31" s="214"/>
      <c r="Q31" s="86"/>
      <c r="S31" s="88"/>
      <c r="T31" s="218" t="s">
        <v>148</v>
      </c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19"/>
      <c r="AF31" s="220"/>
      <c r="AG31" s="91"/>
    </row>
    <row r="32" spans="3:33" ht="3" customHeight="1" thickBot="1" x14ac:dyDescent="0.35">
      <c r="C32" s="65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66"/>
      <c r="S32" s="77"/>
      <c r="AG32" s="78"/>
    </row>
    <row r="33" spans="3:33" s="87" customFormat="1" ht="15.9" customHeight="1" thickBot="1" x14ac:dyDescent="0.35">
      <c r="C33" s="85"/>
      <c r="D33" s="82"/>
      <c r="E33" s="81"/>
      <c r="F33" s="82"/>
      <c r="G33" s="214"/>
      <c r="H33" s="214"/>
      <c r="I33" s="214"/>
      <c r="J33" s="214"/>
      <c r="K33" s="214"/>
      <c r="L33" s="214"/>
      <c r="M33" s="214"/>
      <c r="N33" s="214"/>
      <c r="O33" s="214"/>
      <c r="P33" s="214"/>
      <c r="Q33" s="86"/>
      <c r="S33" s="88"/>
      <c r="T33" s="215" t="s">
        <v>123</v>
      </c>
      <c r="U33" s="215"/>
      <c r="V33" s="215"/>
      <c r="W33" s="215"/>
      <c r="X33" s="215"/>
      <c r="Y33" s="215"/>
      <c r="Z33" s="215"/>
      <c r="AA33" s="215"/>
      <c r="AB33" s="215"/>
      <c r="AC33" s="215"/>
      <c r="AD33" s="215"/>
      <c r="AE33" s="215"/>
      <c r="AF33" s="215"/>
      <c r="AG33" s="89"/>
    </row>
    <row r="34" spans="3:33" ht="3" customHeight="1" thickBot="1" x14ac:dyDescent="0.35">
      <c r="C34" s="65"/>
      <c r="D34" s="79"/>
      <c r="E34" s="79"/>
      <c r="F34" s="79"/>
      <c r="G34" s="221"/>
      <c r="H34" s="221"/>
      <c r="I34" s="221"/>
      <c r="J34" s="221"/>
      <c r="K34" s="221"/>
      <c r="L34" s="221"/>
      <c r="M34" s="221"/>
      <c r="N34" s="221"/>
      <c r="O34" s="221"/>
      <c r="P34" s="221"/>
      <c r="Q34" s="66"/>
      <c r="S34" s="77"/>
      <c r="AG34" s="78"/>
    </row>
    <row r="35" spans="3:33" s="87" customFormat="1" ht="15.9" customHeight="1" thickBot="1" x14ac:dyDescent="0.35">
      <c r="C35" s="85"/>
      <c r="D35" s="82"/>
      <c r="E35" s="81"/>
      <c r="F35" s="82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86"/>
      <c r="S35" s="88"/>
      <c r="T35" s="42"/>
      <c r="U35" s="114"/>
      <c r="V35" s="42"/>
      <c r="W35" s="217" t="s">
        <v>135</v>
      </c>
      <c r="X35" s="217"/>
      <c r="Y35" s="217"/>
      <c r="Z35" s="217"/>
      <c r="AA35" s="217"/>
      <c r="AB35" s="217"/>
      <c r="AC35" s="217"/>
      <c r="AD35" s="217"/>
      <c r="AE35" s="217"/>
      <c r="AF35" s="217"/>
      <c r="AG35" s="89"/>
    </row>
    <row r="36" spans="3:33" s="87" customFormat="1" ht="3" customHeight="1" thickBot="1" x14ac:dyDescent="0.35">
      <c r="C36" s="85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6"/>
      <c r="S36" s="88"/>
      <c r="T36" s="42"/>
      <c r="U36" s="42"/>
      <c r="V36" s="42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9"/>
    </row>
    <row r="37" spans="3:33" ht="15.9" customHeight="1" thickBot="1" x14ac:dyDescent="0.35">
      <c r="C37" s="65"/>
      <c r="D37" s="210" t="s">
        <v>168</v>
      </c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66"/>
      <c r="S37" s="77"/>
      <c r="U37" s="114"/>
      <c r="W37" s="217" t="s">
        <v>136</v>
      </c>
      <c r="X37" s="217"/>
      <c r="Y37" s="217"/>
      <c r="Z37" s="217"/>
      <c r="AA37" s="217"/>
      <c r="AB37" s="217"/>
      <c r="AC37" s="217"/>
      <c r="AD37" s="217"/>
      <c r="AE37" s="217"/>
      <c r="AF37" s="217"/>
      <c r="AG37" s="78"/>
    </row>
    <row r="38" spans="3:33" ht="3" customHeight="1" thickBot="1" x14ac:dyDescent="0.35">
      <c r="C38" s="65"/>
      <c r="D38" s="90"/>
      <c r="E38" s="90"/>
      <c r="F38" s="90"/>
      <c r="G38" s="90"/>
      <c r="H38" s="90"/>
      <c r="I38" s="90"/>
      <c r="J38" s="90"/>
      <c r="K38" s="90"/>
      <c r="L38" s="90"/>
      <c r="M38" s="90"/>
      <c r="N38" s="90"/>
      <c r="O38" s="90"/>
      <c r="P38" s="90"/>
      <c r="Q38" s="66"/>
      <c r="S38" s="77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78"/>
    </row>
    <row r="39" spans="3:33" ht="15.9" customHeight="1" thickBot="1" x14ac:dyDescent="0.35">
      <c r="C39" s="65"/>
      <c r="D39" s="90"/>
      <c r="E39" s="81"/>
      <c r="F39" s="82"/>
      <c r="G39" s="214"/>
      <c r="H39" s="214"/>
      <c r="I39" s="214"/>
      <c r="J39" s="214"/>
      <c r="K39" s="214"/>
      <c r="L39" s="214"/>
      <c r="M39" s="214"/>
      <c r="N39" s="214"/>
      <c r="O39" s="214"/>
      <c r="P39" s="214"/>
      <c r="Q39" s="66"/>
      <c r="S39" s="77"/>
      <c r="U39" s="114"/>
      <c r="W39" s="217" t="s">
        <v>137</v>
      </c>
      <c r="X39" s="217"/>
      <c r="Y39" s="217"/>
      <c r="Z39" s="217"/>
      <c r="AA39" s="217"/>
      <c r="AB39" s="217"/>
      <c r="AC39" s="217"/>
      <c r="AD39" s="217"/>
      <c r="AE39" s="217"/>
      <c r="AF39" s="217"/>
      <c r="AG39" s="78"/>
    </row>
    <row r="40" spans="3:33" ht="3" customHeight="1" thickBot="1" x14ac:dyDescent="0.35">
      <c r="C40" s="65"/>
      <c r="D40" s="90"/>
      <c r="E40" s="83"/>
      <c r="F40" s="82"/>
      <c r="G40" s="82"/>
      <c r="H40" s="82"/>
      <c r="I40" s="82"/>
      <c r="J40" s="82"/>
      <c r="K40" s="82"/>
      <c r="L40" s="82"/>
      <c r="M40" s="82"/>
      <c r="N40" s="82"/>
      <c r="O40" s="82"/>
      <c r="P40" s="82"/>
      <c r="Q40" s="66"/>
      <c r="S40" s="77"/>
      <c r="AG40" s="78"/>
    </row>
    <row r="41" spans="3:33" ht="15.9" customHeight="1" thickBot="1" x14ac:dyDescent="0.35">
      <c r="C41" s="65"/>
      <c r="D41" s="90"/>
      <c r="E41" s="81"/>
      <c r="F41" s="82"/>
      <c r="G41" s="214"/>
      <c r="H41" s="214"/>
      <c r="I41" s="214"/>
      <c r="J41" s="214"/>
      <c r="K41" s="214"/>
      <c r="L41" s="214"/>
      <c r="M41" s="214"/>
      <c r="N41" s="214"/>
      <c r="O41" s="214"/>
      <c r="P41" s="214"/>
      <c r="Q41" s="66"/>
      <c r="S41" s="77"/>
      <c r="T41" s="215" t="s">
        <v>138</v>
      </c>
      <c r="U41" s="215"/>
      <c r="V41" s="215"/>
      <c r="W41" s="215"/>
      <c r="X41" s="215"/>
      <c r="Y41" s="215"/>
      <c r="Z41" s="215"/>
      <c r="AA41" s="215"/>
      <c r="AB41" s="215"/>
      <c r="AC41" s="215"/>
      <c r="AD41" s="215"/>
      <c r="AE41" s="215"/>
      <c r="AF41" s="215"/>
      <c r="AG41" s="78"/>
    </row>
    <row r="42" spans="3:33" ht="3" customHeight="1" thickBot="1" x14ac:dyDescent="0.35">
      <c r="C42" s="65"/>
      <c r="D42" s="90"/>
      <c r="E42" s="90"/>
      <c r="F42" s="90"/>
      <c r="G42" s="90"/>
      <c r="H42" s="90"/>
      <c r="I42" s="90"/>
      <c r="J42" s="90"/>
      <c r="K42" s="90"/>
      <c r="L42" s="90"/>
      <c r="M42" s="90"/>
      <c r="N42" s="90"/>
      <c r="O42" s="90"/>
      <c r="P42" s="90"/>
      <c r="Q42" s="66"/>
      <c r="S42" s="77"/>
      <c r="AG42" s="78"/>
    </row>
    <row r="43" spans="3:33" ht="15.9" customHeight="1" thickBot="1" x14ac:dyDescent="0.35">
      <c r="C43" s="65"/>
      <c r="D43" s="90"/>
      <c r="E43" s="81"/>
      <c r="F43" s="82"/>
      <c r="G43" s="214"/>
      <c r="H43" s="214"/>
      <c r="I43" s="214"/>
      <c r="J43" s="214"/>
      <c r="K43" s="214"/>
      <c r="L43" s="214"/>
      <c r="M43" s="214"/>
      <c r="N43" s="214"/>
      <c r="O43" s="214"/>
      <c r="P43" s="214"/>
      <c r="Q43" s="66"/>
      <c r="S43" s="77"/>
      <c r="T43" s="87"/>
      <c r="U43" s="115"/>
      <c r="V43" s="87"/>
      <c r="W43" s="217" t="s">
        <v>135</v>
      </c>
      <c r="X43" s="217"/>
      <c r="Y43" s="217"/>
      <c r="Z43" s="217"/>
      <c r="AA43" s="217"/>
      <c r="AB43" s="217"/>
      <c r="AC43" s="217"/>
      <c r="AD43" s="217"/>
      <c r="AE43" s="217"/>
      <c r="AF43" s="217"/>
      <c r="AG43" s="78"/>
    </row>
    <row r="44" spans="3:33" ht="3" customHeight="1" thickBot="1" x14ac:dyDescent="0.35">
      <c r="C44" s="65"/>
      <c r="D44" s="90"/>
      <c r="E44" s="90"/>
      <c r="F44" s="90"/>
      <c r="G44" s="90"/>
      <c r="H44" s="90"/>
      <c r="I44" s="90"/>
      <c r="J44" s="90"/>
      <c r="K44" s="90"/>
      <c r="L44" s="90"/>
      <c r="M44" s="90"/>
      <c r="N44" s="90"/>
      <c r="O44" s="90"/>
      <c r="P44" s="90"/>
      <c r="Q44" s="66"/>
      <c r="S44" s="77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78"/>
    </row>
    <row r="45" spans="3:33" ht="15.9" customHeight="1" thickBot="1" x14ac:dyDescent="0.35">
      <c r="C45" s="65"/>
      <c r="D45" s="90"/>
      <c r="E45" s="81"/>
      <c r="F45" s="82"/>
      <c r="G45" s="214"/>
      <c r="H45" s="214"/>
      <c r="I45" s="214"/>
      <c r="J45" s="214"/>
      <c r="K45" s="214"/>
      <c r="L45" s="214"/>
      <c r="M45" s="214"/>
      <c r="N45" s="214"/>
      <c r="O45" s="214"/>
      <c r="P45" s="214"/>
      <c r="Q45" s="66"/>
      <c r="S45" s="77"/>
      <c r="U45" s="114"/>
      <c r="W45" s="217" t="s">
        <v>139</v>
      </c>
      <c r="X45" s="217"/>
      <c r="Y45" s="217"/>
      <c r="Z45" s="217"/>
      <c r="AA45" s="217"/>
      <c r="AB45" s="217"/>
      <c r="AC45" s="217"/>
      <c r="AD45" s="217"/>
      <c r="AE45" s="217"/>
      <c r="AF45" s="217"/>
      <c r="AG45" s="78"/>
    </row>
    <row r="46" spans="3:33" ht="3" customHeight="1" thickBot="1" x14ac:dyDescent="0.35">
      <c r="C46" s="65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0"/>
      <c r="O46" s="90"/>
      <c r="P46" s="90"/>
      <c r="Q46" s="66"/>
      <c r="S46" s="77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78"/>
    </row>
    <row r="47" spans="3:33" s="87" customFormat="1" ht="15.9" customHeight="1" thickBot="1" x14ac:dyDescent="0.35">
      <c r="C47" s="85"/>
      <c r="D47" s="82"/>
      <c r="E47" s="81"/>
      <c r="F47" s="82"/>
      <c r="G47" s="214"/>
      <c r="H47" s="214"/>
      <c r="I47" s="214"/>
      <c r="J47" s="214"/>
      <c r="K47" s="214"/>
      <c r="L47" s="214"/>
      <c r="M47" s="214"/>
      <c r="N47" s="214"/>
      <c r="O47" s="214"/>
      <c r="P47" s="214"/>
      <c r="Q47" s="86"/>
      <c r="S47" s="88"/>
      <c r="T47" s="42"/>
      <c r="U47" s="114"/>
      <c r="V47" s="42"/>
      <c r="W47" s="217" t="s">
        <v>137</v>
      </c>
      <c r="X47" s="217"/>
      <c r="Y47" s="217"/>
      <c r="Z47" s="217"/>
      <c r="AA47" s="217"/>
      <c r="AB47" s="217"/>
      <c r="AC47" s="217"/>
      <c r="AD47" s="217"/>
      <c r="AE47" s="217"/>
      <c r="AF47" s="217"/>
      <c r="AG47" s="89"/>
    </row>
    <row r="48" spans="3:33" ht="3" customHeight="1" thickBot="1" x14ac:dyDescent="0.35">
      <c r="C48" s="65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66"/>
      <c r="S48" s="77"/>
      <c r="AG48" s="78"/>
    </row>
    <row r="49" spans="3:33" s="87" customFormat="1" ht="15.9" customHeight="1" thickBot="1" x14ac:dyDescent="0.35">
      <c r="C49" s="85"/>
      <c r="D49" s="82"/>
      <c r="E49" s="81"/>
      <c r="F49" s="82"/>
      <c r="G49" s="214"/>
      <c r="H49" s="214"/>
      <c r="I49" s="214"/>
      <c r="J49" s="214"/>
      <c r="K49" s="214"/>
      <c r="L49" s="214"/>
      <c r="M49" s="214"/>
      <c r="N49" s="214"/>
      <c r="O49" s="214"/>
      <c r="P49" s="214"/>
      <c r="Q49" s="86"/>
      <c r="S49" s="88"/>
      <c r="T49" s="215" t="s">
        <v>140</v>
      </c>
      <c r="U49" s="215"/>
      <c r="V49" s="215"/>
      <c r="W49" s="215"/>
      <c r="X49" s="215"/>
      <c r="Y49" s="215"/>
      <c r="Z49" s="215"/>
      <c r="AA49" s="215"/>
      <c r="AB49" s="215"/>
      <c r="AC49" s="215"/>
      <c r="AD49" s="215"/>
      <c r="AE49" s="215"/>
      <c r="AF49" s="215"/>
      <c r="AG49" s="89"/>
    </row>
    <row r="50" spans="3:33" ht="3" customHeight="1" thickBot="1" x14ac:dyDescent="0.35">
      <c r="C50" s="65"/>
      <c r="D50" s="79"/>
      <c r="E50" s="79"/>
      <c r="F50" s="79"/>
      <c r="G50" s="221"/>
      <c r="H50" s="221"/>
      <c r="I50" s="221"/>
      <c r="J50" s="221"/>
      <c r="K50" s="221"/>
      <c r="L50" s="221"/>
      <c r="M50" s="221"/>
      <c r="N50" s="221"/>
      <c r="O50" s="221"/>
      <c r="P50" s="221"/>
      <c r="Q50" s="66"/>
      <c r="S50" s="77"/>
      <c r="AG50" s="78"/>
    </row>
    <row r="51" spans="3:33" s="87" customFormat="1" ht="15.9" customHeight="1" thickBot="1" x14ac:dyDescent="0.35">
      <c r="C51" s="85"/>
      <c r="D51" s="82"/>
      <c r="E51" s="81"/>
      <c r="F51" s="82"/>
      <c r="G51" s="214"/>
      <c r="H51" s="214"/>
      <c r="I51" s="214"/>
      <c r="J51" s="214"/>
      <c r="K51" s="214"/>
      <c r="L51" s="214"/>
      <c r="M51" s="214"/>
      <c r="N51" s="214"/>
      <c r="O51" s="214"/>
      <c r="P51" s="214"/>
      <c r="Q51" s="86"/>
      <c r="S51" s="88"/>
      <c r="T51" s="42"/>
      <c r="U51" s="114"/>
      <c r="V51" s="42"/>
      <c r="W51" s="217" t="s">
        <v>132</v>
      </c>
      <c r="X51" s="217"/>
      <c r="Y51" s="217"/>
      <c r="Z51" s="217"/>
      <c r="AA51" s="217"/>
      <c r="AB51" s="217"/>
      <c r="AC51" s="217"/>
      <c r="AD51" s="217"/>
      <c r="AE51" s="217"/>
      <c r="AF51" s="217"/>
      <c r="AG51" s="89"/>
    </row>
    <row r="52" spans="3:33" s="87" customFormat="1" ht="3" customHeight="1" thickBot="1" x14ac:dyDescent="0.35">
      <c r="C52" s="85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6"/>
      <c r="S52" s="88"/>
      <c r="T52" s="42"/>
      <c r="U52" s="42"/>
      <c r="V52" s="42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9"/>
    </row>
    <row r="53" spans="3:33" ht="15.9" customHeight="1" thickBot="1" x14ac:dyDescent="0.35">
      <c r="C53" s="65"/>
      <c r="D53" s="210" t="s">
        <v>141</v>
      </c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66"/>
      <c r="S53" s="77"/>
      <c r="U53" s="114"/>
      <c r="W53" s="217" t="s">
        <v>133</v>
      </c>
      <c r="X53" s="217"/>
      <c r="Y53" s="217"/>
      <c r="Z53" s="217"/>
      <c r="AA53" s="217"/>
      <c r="AB53" s="217"/>
      <c r="AC53" s="217"/>
      <c r="AD53" s="217"/>
      <c r="AE53" s="217"/>
      <c r="AF53" s="217"/>
      <c r="AG53" s="78"/>
    </row>
    <row r="54" spans="3:33" ht="3" customHeight="1" thickBot="1" x14ac:dyDescent="0.35">
      <c r="C54" s="65"/>
      <c r="D54" s="90"/>
      <c r="E54" s="90"/>
      <c r="F54" s="90"/>
      <c r="G54" s="90"/>
      <c r="H54" s="90"/>
      <c r="I54" s="90"/>
      <c r="J54" s="90"/>
      <c r="K54" s="90"/>
      <c r="L54" s="90"/>
      <c r="M54" s="90"/>
      <c r="N54" s="90"/>
      <c r="O54" s="90"/>
      <c r="P54" s="90"/>
      <c r="Q54" s="66"/>
      <c r="S54" s="77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78"/>
    </row>
    <row r="55" spans="3:33" ht="15.9" customHeight="1" thickBot="1" x14ac:dyDescent="0.35">
      <c r="C55" s="65"/>
      <c r="D55" s="90"/>
      <c r="E55" s="81"/>
      <c r="F55" s="82"/>
      <c r="G55" s="214"/>
      <c r="H55" s="214"/>
      <c r="I55" s="214"/>
      <c r="J55" s="214"/>
      <c r="K55" s="214"/>
      <c r="L55" s="214"/>
      <c r="M55" s="214"/>
      <c r="N55" s="214"/>
      <c r="O55" s="214"/>
      <c r="P55" s="214"/>
      <c r="Q55" s="66"/>
      <c r="S55" s="77"/>
      <c r="U55" s="114"/>
      <c r="W55" s="217" t="s">
        <v>142</v>
      </c>
      <c r="X55" s="217"/>
      <c r="Y55" s="217"/>
      <c r="Z55" s="217"/>
      <c r="AA55" s="217"/>
      <c r="AB55" s="217"/>
      <c r="AC55" s="217"/>
      <c r="AD55" s="217"/>
      <c r="AE55" s="217"/>
      <c r="AF55" s="217"/>
      <c r="AG55" s="78"/>
    </row>
    <row r="56" spans="3:33" ht="3" customHeight="1" thickBot="1" x14ac:dyDescent="0.35">
      <c r="C56" s="65"/>
      <c r="D56" s="90"/>
      <c r="E56" s="83"/>
      <c r="F56" s="82"/>
      <c r="G56" s="82"/>
      <c r="H56" s="82"/>
      <c r="I56" s="82"/>
      <c r="J56" s="82"/>
      <c r="K56" s="82"/>
      <c r="L56" s="82"/>
      <c r="M56" s="82"/>
      <c r="N56" s="82"/>
      <c r="O56" s="82"/>
      <c r="P56" s="82"/>
      <c r="Q56" s="66"/>
      <c r="S56" s="92"/>
      <c r="T56" s="93"/>
      <c r="U56" s="93"/>
      <c r="V56" s="93"/>
      <c r="W56" s="93"/>
      <c r="X56" s="93"/>
      <c r="Y56" s="93"/>
      <c r="Z56" s="93"/>
      <c r="AA56" s="93"/>
      <c r="AB56" s="93"/>
      <c r="AC56" s="93"/>
      <c r="AD56" s="93"/>
      <c r="AE56" s="93"/>
      <c r="AF56" s="93"/>
      <c r="AG56" s="94"/>
    </row>
    <row r="57" spans="3:33" ht="15.9" customHeight="1" thickBot="1" x14ac:dyDescent="0.35">
      <c r="C57" s="65"/>
      <c r="D57" s="90"/>
      <c r="E57" s="81"/>
      <c r="F57" s="82"/>
      <c r="G57" s="214"/>
      <c r="H57" s="214"/>
      <c r="I57" s="214"/>
      <c r="J57" s="214"/>
      <c r="K57" s="214"/>
      <c r="L57" s="214"/>
      <c r="M57" s="214"/>
      <c r="N57" s="214"/>
      <c r="O57" s="214"/>
      <c r="P57" s="214"/>
      <c r="Q57" s="66"/>
    </row>
    <row r="58" spans="3:33" ht="3" customHeight="1" thickBot="1" x14ac:dyDescent="0.35">
      <c r="C58" s="65"/>
      <c r="D58" s="90"/>
      <c r="E58" s="90"/>
      <c r="F58" s="90"/>
      <c r="G58" s="90"/>
      <c r="H58" s="90"/>
      <c r="I58" s="90"/>
      <c r="J58" s="90"/>
      <c r="K58" s="90"/>
      <c r="L58" s="90"/>
      <c r="M58" s="90"/>
      <c r="N58" s="90"/>
      <c r="O58" s="90"/>
      <c r="P58" s="90"/>
      <c r="Q58" s="66"/>
    </row>
    <row r="59" spans="3:33" ht="15.9" customHeight="1" thickBot="1" x14ac:dyDescent="0.35">
      <c r="C59" s="65"/>
      <c r="D59" s="90"/>
      <c r="E59" s="81"/>
      <c r="F59" s="82"/>
      <c r="G59" s="214"/>
      <c r="H59" s="214"/>
      <c r="I59" s="214"/>
      <c r="J59" s="214"/>
      <c r="K59" s="214"/>
      <c r="L59" s="214"/>
      <c r="M59" s="214"/>
      <c r="N59" s="214"/>
      <c r="O59" s="214"/>
      <c r="P59" s="214"/>
      <c r="Q59" s="66"/>
    </row>
    <row r="60" spans="3:33" ht="3" customHeight="1" thickBot="1" x14ac:dyDescent="0.35">
      <c r="C60" s="65"/>
      <c r="D60" s="90"/>
      <c r="E60" s="90"/>
      <c r="F60" s="90"/>
      <c r="G60" s="90"/>
      <c r="H60" s="90"/>
      <c r="I60" s="90"/>
      <c r="J60" s="90"/>
      <c r="K60" s="90"/>
      <c r="L60" s="90"/>
      <c r="M60" s="90"/>
      <c r="N60" s="90"/>
      <c r="O60" s="90"/>
      <c r="P60" s="90"/>
      <c r="Q60" s="66"/>
    </row>
    <row r="61" spans="3:33" ht="15.9" customHeight="1" thickBot="1" x14ac:dyDescent="0.35">
      <c r="C61" s="65"/>
      <c r="D61" s="90"/>
      <c r="E61" s="81"/>
      <c r="F61" s="82"/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66"/>
    </row>
    <row r="62" spans="3:33" ht="3" customHeight="1" thickBot="1" x14ac:dyDescent="0.35">
      <c r="C62" s="65"/>
      <c r="D62" s="90"/>
      <c r="E62" s="90"/>
      <c r="F62" s="90"/>
      <c r="G62" s="90"/>
      <c r="H62" s="90"/>
      <c r="I62" s="90"/>
      <c r="J62" s="90"/>
      <c r="K62" s="90"/>
      <c r="L62" s="90"/>
      <c r="M62" s="90"/>
      <c r="N62" s="90"/>
      <c r="O62" s="90"/>
      <c r="P62" s="90"/>
      <c r="Q62" s="66"/>
    </row>
    <row r="63" spans="3:33" s="87" customFormat="1" ht="15.9" customHeight="1" thickBot="1" x14ac:dyDescent="0.35">
      <c r="C63" s="85"/>
      <c r="D63" s="82"/>
      <c r="E63" s="81"/>
      <c r="F63" s="82"/>
      <c r="G63" s="214"/>
      <c r="H63" s="214"/>
      <c r="I63" s="214"/>
      <c r="J63" s="214"/>
      <c r="K63" s="214"/>
      <c r="L63" s="214"/>
      <c r="M63" s="214"/>
      <c r="N63" s="214"/>
      <c r="O63" s="214"/>
      <c r="P63" s="214"/>
      <c r="Q63" s="86"/>
    </row>
    <row r="64" spans="3:33" ht="3" customHeight="1" thickBot="1" x14ac:dyDescent="0.35">
      <c r="C64" s="65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66"/>
    </row>
    <row r="65" spans="3:17" s="87" customFormat="1" ht="15.9" customHeight="1" thickBot="1" x14ac:dyDescent="0.35">
      <c r="C65" s="85"/>
      <c r="D65" s="82"/>
      <c r="E65" s="81"/>
      <c r="F65" s="82"/>
      <c r="G65" s="214"/>
      <c r="H65" s="214"/>
      <c r="I65" s="214"/>
      <c r="J65" s="214"/>
      <c r="K65" s="214"/>
      <c r="L65" s="214"/>
      <c r="M65" s="214"/>
      <c r="N65" s="214"/>
      <c r="O65" s="214"/>
      <c r="P65" s="214"/>
      <c r="Q65" s="86"/>
    </row>
    <row r="66" spans="3:17" ht="3" customHeight="1" thickBot="1" x14ac:dyDescent="0.35">
      <c r="C66" s="65"/>
      <c r="D66" s="79"/>
      <c r="E66" s="79"/>
      <c r="F66" s="79"/>
      <c r="G66" s="221"/>
      <c r="H66" s="221"/>
      <c r="I66" s="221"/>
      <c r="J66" s="221"/>
      <c r="K66" s="221"/>
      <c r="L66" s="221"/>
      <c r="M66" s="221"/>
      <c r="N66" s="221"/>
      <c r="O66" s="221"/>
      <c r="P66" s="221"/>
      <c r="Q66" s="66"/>
    </row>
    <row r="67" spans="3:17" s="87" customFormat="1" ht="15.9" customHeight="1" thickBot="1" x14ac:dyDescent="0.35">
      <c r="C67" s="85"/>
      <c r="D67" s="82"/>
      <c r="E67" s="81"/>
      <c r="F67" s="82"/>
      <c r="G67" s="214"/>
      <c r="H67" s="214"/>
      <c r="I67" s="214"/>
      <c r="J67" s="214"/>
      <c r="K67" s="214"/>
      <c r="L67" s="214"/>
      <c r="M67" s="214"/>
      <c r="N67" s="214"/>
      <c r="O67" s="214"/>
      <c r="P67" s="214"/>
      <c r="Q67" s="86"/>
    </row>
    <row r="68" spans="3:17" s="87" customFormat="1" ht="3" customHeight="1" x14ac:dyDescent="0.3">
      <c r="C68" s="85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2"/>
      <c r="O68" s="82"/>
      <c r="P68" s="82"/>
      <c r="Q68" s="86"/>
    </row>
    <row r="69" spans="3:17" ht="15.9" customHeight="1" x14ac:dyDescent="0.3">
      <c r="C69" s="65"/>
      <c r="D69" s="210" t="s">
        <v>152</v>
      </c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66"/>
    </row>
    <row r="70" spans="3:17" ht="3" customHeight="1" thickBot="1" x14ac:dyDescent="0.35">
      <c r="C70" s="65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66"/>
    </row>
    <row r="71" spans="3:17" ht="15.9" customHeight="1" thickBot="1" x14ac:dyDescent="0.35">
      <c r="C71" s="65"/>
      <c r="D71" s="90"/>
      <c r="E71" s="81"/>
      <c r="F71" s="82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66"/>
    </row>
    <row r="72" spans="3:17" ht="3" customHeight="1" thickBot="1" x14ac:dyDescent="0.35">
      <c r="C72" s="65"/>
      <c r="D72" s="90"/>
      <c r="E72" s="83"/>
      <c r="F72" s="82"/>
      <c r="G72" s="82"/>
      <c r="H72" s="82"/>
      <c r="I72" s="82"/>
      <c r="J72" s="82"/>
      <c r="K72" s="82"/>
      <c r="L72" s="82"/>
      <c r="M72" s="82"/>
      <c r="N72" s="82"/>
      <c r="O72" s="82"/>
      <c r="P72" s="82"/>
      <c r="Q72" s="66"/>
    </row>
    <row r="73" spans="3:17" ht="15.9" customHeight="1" thickBot="1" x14ac:dyDescent="0.35">
      <c r="C73" s="65"/>
      <c r="D73" s="90"/>
      <c r="E73" s="81"/>
      <c r="F73" s="82"/>
      <c r="G73" s="214"/>
      <c r="H73" s="214"/>
      <c r="I73" s="214"/>
      <c r="J73" s="214"/>
      <c r="K73" s="214"/>
      <c r="L73" s="214"/>
      <c r="M73" s="214"/>
      <c r="N73" s="214"/>
      <c r="O73" s="214"/>
      <c r="P73" s="214"/>
      <c r="Q73" s="66"/>
    </row>
    <row r="74" spans="3:17" ht="3" customHeight="1" thickBot="1" x14ac:dyDescent="0.35">
      <c r="C74" s="65"/>
      <c r="D74" s="90"/>
      <c r="E74" s="90"/>
      <c r="F74" s="90"/>
      <c r="G74" s="90"/>
      <c r="H74" s="90"/>
      <c r="I74" s="90"/>
      <c r="J74" s="90"/>
      <c r="K74" s="90"/>
      <c r="L74" s="90"/>
      <c r="M74" s="90"/>
      <c r="N74" s="90"/>
      <c r="O74" s="90"/>
      <c r="P74" s="90"/>
      <c r="Q74" s="66"/>
    </row>
    <row r="75" spans="3:17" ht="15.9" customHeight="1" thickBot="1" x14ac:dyDescent="0.35">
      <c r="C75" s="65"/>
      <c r="D75" s="90"/>
      <c r="E75" s="81"/>
      <c r="F75" s="82"/>
      <c r="G75" s="214"/>
      <c r="H75" s="214"/>
      <c r="I75" s="214"/>
      <c r="J75" s="214"/>
      <c r="K75" s="214"/>
      <c r="L75" s="214"/>
      <c r="M75" s="214"/>
      <c r="N75" s="214"/>
      <c r="O75" s="214"/>
      <c r="P75" s="214"/>
      <c r="Q75" s="66"/>
    </row>
    <row r="76" spans="3:17" ht="3" customHeight="1" thickBot="1" x14ac:dyDescent="0.35">
      <c r="C76" s="65"/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Q76" s="66"/>
    </row>
    <row r="77" spans="3:17" ht="15.9" customHeight="1" thickBot="1" x14ac:dyDescent="0.35">
      <c r="C77" s="65"/>
      <c r="D77" s="90"/>
      <c r="E77" s="81"/>
      <c r="F77" s="82"/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66"/>
    </row>
    <row r="78" spans="3:17" ht="3" customHeight="1" thickBot="1" x14ac:dyDescent="0.35">
      <c r="C78" s="65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  <c r="P78" s="90"/>
      <c r="Q78" s="66"/>
    </row>
    <row r="79" spans="3:17" s="87" customFormat="1" ht="15.9" customHeight="1" thickBot="1" x14ac:dyDescent="0.35">
      <c r="C79" s="85"/>
      <c r="D79" s="82"/>
      <c r="E79" s="81"/>
      <c r="F79" s="82"/>
      <c r="G79" s="214"/>
      <c r="H79" s="214"/>
      <c r="I79" s="214"/>
      <c r="J79" s="214"/>
      <c r="K79" s="214"/>
      <c r="L79" s="214"/>
      <c r="M79" s="214"/>
      <c r="N79" s="214"/>
      <c r="O79" s="214"/>
      <c r="P79" s="214"/>
      <c r="Q79" s="86"/>
    </row>
    <row r="80" spans="3:17" ht="3" customHeight="1" thickBot="1" x14ac:dyDescent="0.35">
      <c r="C80" s="65"/>
      <c r="D80" s="79"/>
      <c r="E80" s="79"/>
      <c r="F80" s="79"/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66"/>
    </row>
    <row r="81" spans="3:17" s="87" customFormat="1" ht="15.9" customHeight="1" thickBot="1" x14ac:dyDescent="0.35">
      <c r="C81" s="85"/>
      <c r="D81" s="82"/>
      <c r="E81" s="81"/>
      <c r="F81" s="82"/>
      <c r="G81" s="214"/>
      <c r="H81" s="214"/>
      <c r="I81" s="214"/>
      <c r="J81" s="214"/>
      <c r="K81" s="214"/>
      <c r="L81" s="214"/>
      <c r="M81" s="214"/>
      <c r="N81" s="214"/>
      <c r="O81" s="214"/>
      <c r="P81" s="214"/>
      <c r="Q81" s="86"/>
    </row>
    <row r="82" spans="3:17" ht="3" customHeight="1" thickBot="1" x14ac:dyDescent="0.35">
      <c r="C82" s="65"/>
      <c r="D82" s="79"/>
      <c r="E82" s="79"/>
      <c r="F82" s="79"/>
      <c r="G82" s="221"/>
      <c r="H82" s="221"/>
      <c r="I82" s="221"/>
      <c r="J82" s="221"/>
      <c r="K82" s="221"/>
      <c r="L82" s="221"/>
      <c r="M82" s="221"/>
      <c r="N82" s="221"/>
      <c r="O82" s="221"/>
      <c r="P82" s="221"/>
      <c r="Q82" s="66"/>
    </row>
    <row r="83" spans="3:17" s="87" customFormat="1" ht="15.9" customHeight="1" thickBot="1" x14ac:dyDescent="0.35">
      <c r="C83" s="85"/>
      <c r="D83" s="82"/>
      <c r="E83" s="81"/>
      <c r="F83" s="82"/>
      <c r="G83" s="214"/>
      <c r="H83" s="214"/>
      <c r="I83" s="214"/>
      <c r="J83" s="214"/>
      <c r="K83" s="214"/>
      <c r="L83" s="214"/>
      <c r="M83" s="214"/>
      <c r="N83" s="214"/>
      <c r="O83" s="214"/>
      <c r="P83" s="214"/>
      <c r="Q83" s="86"/>
    </row>
    <row r="84" spans="3:17" s="87" customFormat="1" ht="3" customHeight="1" x14ac:dyDescent="0.3">
      <c r="C84" s="85"/>
      <c r="D84" s="82"/>
      <c r="E84" s="82"/>
      <c r="F84" s="82"/>
      <c r="G84" s="82"/>
      <c r="H84" s="82"/>
      <c r="I84" s="82"/>
      <c r="J84" s="82"/>
      <c r="K84" s="82"/>
      <c r="L84" s="82"/>
      <c r="M84" s="82"/>
      <c r="N84" s="82"/>
      <c r="O84" s="82"/>
      <c r="P84" s="82"/>
      <c r="Q84" s="86"/>
    </row>
    <row r="85" spans="3:17" ht="15.9" customHeight="1" x14ac:dyDescent="0.3">
      <c r="C85" s="65"/>
      <c r="D85" s="210" t="s">
        <v>151</v>
      </c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66"/>
    </row>
    <row r="86" spans="3:17" ht="3" customHeight="1" thickBot="1" x14ac:dyDescent="0.35">
      <c r="C86" s="65"/>
      <c r="D86" s="90"/>
      <c r="E86" s="90"/>
      <c r="F86" s="90"/>
      <c r="G86" s="90"/>
      <c r="H86" s="90"/>
      <c r="I86" s="90"/>
      <c r="J86" s="90"/>
      <c r="K86" s="90"/>
      <c r="L86" s="90"/>
      <c r="M86" s="90"/>
      <c r="N86" s="90"/>
      <c r="O86" s="90"/>
      <c r="P86" s="90"/>
      <c r="Q86" s="66"/>
    </row>
    <row r="87" spans="3:17" ht="15.9" customHeight="1" thickBot="1" x14ac:dyDescent="0.35">
      <c r="C87" s="65"/>
      <c r="D87" s="90"/>
      <c r="E87" s="81"/>
      <c r="F87" s="82"/>
      <c r="G87" s="214"/>
      <c r="H87" s="214"/>
      <c r="I87" s="214"/>
      <c r="J87" s="214"/>
      <c r="K87" s="214"/>
      <c r="L87" s="214"/>
      <c r="M87" s="214"/>
      <c r="N87" s="214"/>
      <c r="O87" s="214"/>
      <c r="P87" s="214"/>
      <c r="Q87" s="66"/>
    </row>
    <row r="88" spans="3:17" ht="3" customHeight="1" thickBot="1" x14ac:dyDescent="0.35">
      <c r="C88" s="65"/>
      <c r="D88" s="90"/>
      <c r="E88" s="83"/>
      <c r="F88" s="82"/>
      <c r="G88" s="82"/>
      <c r="H88" s="82"/>
      <c r="I88" s="82"/>
      <c r="J88" s="82"/>
      <c r="K88" s="82"/>
      <c r="L88" s="82"/>
      <c r="M88" s="82"/>
      <c r="N88" s="82"/>
      <c r="O88" s="82"/>
      <c r="P88" s="82"/>
      <c r="Q88" s="66"/>
    </row>
    <row r="89" spans="3:17" ht="15.9" customHeight="1" thickBot="1" x14ac:dyDescent="0.35">
      <c r="C89" s="65"/>
      <c r="D89" s="90"/>
      <c r="E89" s="81"/>
      <c r="F89" s="82"/>
      <c r="G89" s="214"/>
      <c r="H89" s="214"/>
      <c r="I89" s="214"/>
      <c r="J89" s="214"/>
      <c r="K89" s="214"/>
      <c r="L89" s="214"/>
      <c r="M89" s="214"/>
      <c r="N89" s="214"/>
      <c r="O89" s="214"/>
      <c r="P89" s="214"/>
      <c r="Q89" s="66"/>
    </row>
    <row r="90" spans="3:17" ht="3" customHeight="1" thickBot="1" x14ac:dyDescent="0.35">
      <c r="C90" s="65"/>
      <c r="D90" s="90"/>
      <c r="E90" s="90"/>
      <c r="F90" s="90"/>
      <c r="G90" s="90"/>
      <c r="H90" s="90"/>
      <c r="I90" s="90"/>
      <c r="J90" s="90"/>
      <c r="K90" s="90"/>
      <c r="L90" s="90"/>
      <c r="M90" s="90"/>
      <c r="N90" s="90"/>
      <c r="O90" s="90"/>
      <c r="P90" s="90"/>
      <c r="Q90" s="66"/>
    </row>
    <row r="91" spans="3:17" ht="15.9" customHeight="1" thickBot="1" x14ac:dyDescent="0.35">
      <c r="C91" s="65"/>
      <c r="D91" s="90"/>
      <c r="E91" s="81"/>
      <c r="F91" s="82"/>
      <c r="G91" s="214"/>
      <c r="H91" s="214"/>
      <c r="I91" s="214"/>
      <c r="J91" s="214"/>
      <c r="K91" s="214"/>
      <c r="L91" s="214"/>
      <c r="M91" s="214"/>
      <c r="N91" s="214"/>
      <c r="O91" s="214"/>
      <c r="P91" s="214"/>
      <c r="Q91" s="66"/>
    </row>
    <row r="92" spans="3:17" ht="3" customHeight="1" thickBot="1" x14ac:dyDescent="0.35">
      <c r="C92" s="65"/>
      <c r="D92" s="90"/>
      <c r="E92" s="90"/>
      <c r="F92" s="90"/>
      <c r="G92" s="90"/>
      <c r="H92" s="90"/>
      <c r="I92" s="90"/>
      <c r="J92" s="90"/>
      <c r="K92" s="90"/>
      <c r="L92" s="90"/>
      <c r="M92" s="90"/>
      <c r="N92" s="90"/>
      <c r="O92" s="90"/>
      <c r="P92" s="90"/>
      <c r="Q92" s="66"/>
    </row>
    <row r="93" spans="3:17" ht="15.9" customHeight="1" thickBot="1" x14ac:dyDescent="0.35">
      <c r="C93" s="65"/>
      <c r="D93" s="90"/>
      <c r="E93" s="81"/>
      <c r="F93" s="82"/>
      <c r="G93" s="214"/>
      <c r="H93" s="214"/>
      <c r="I93" s="214"/>
      <c r="J93" s="214"/>
      <c r="K93" s="214"/>
      <c r="L93" s="214"/>
      <c r="M93" s="214"/>
      <c r="N93" s="214"/>
      <c r="O93" s="214"/>
      <c r="P93" s="214"/>
      <c r="Q93" s="66"/>
    </row>
    <row r="94" spans="3:17" ht="3" customHeight="1" thickBot="1" x14ac:dyDescent="0.35">
      <c r="C94" s="65"/>
      <c r="D94" s="90"/>
      <c r="E94" s="90"/>
      <c r="F94" s="90"/>
      <c r="G94" s="90"/>
      <c r="H94" s="90"/>
      <c r="I94" s="90"/>
      <c r="J94" s="90"/>
      <c r="K94" s="90"/>
      <c r="L94" s="90"/>
      <c r="M94" s="90"/>
      <c r="N94" s="90"/>
      <c r="O94" s="90"/>
      <c r="P94" s="90"/>
      <c r="Q94" s="66"/>
    </row>
    <row r="95" spans="3:17" s="87" customFormat="1" ht="15.9" customHeight="1" thickBot="1" x14ac:dyDescent="0.35">
      <c r="C95" s="85"/>
      <c r="D95" s="82"/>
      <c r="E95" s="81"/>
      <c r="F95" s="82"/>
      <c r="G95" s="214"/>
      <c r="H95" s="214"/>
      <c r="I95" s="214"/>
      <c r="J95" s="214"/>
      <c r="K95" s="214"/>
      <c r="L95" s="214"/>
      <c r="M95" s="214"/>
      <c r="N95" s="214"/>
      <c r="O95" s="214"/>
      <c r="P95" s="214"/>
      <c r="Q95" s="86"/>
    </row>
    <row r="96" spans="3:17" ht="3" customHeight="1" thickBot="1" x14ac:dyDescent="0.35">
      <c r="C96" s="65"/>
      <c r="D96" s="79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66"/>
    </row>
    <row r="97" spans="3:17" s="87" customFormat="1" ht="15.9" customHeight="1" thickBot="1" x14ac:dyDescent="0.35">
      <c r="C97" s="85"/>
      <c r="D97" s="82"/>
      <c r="E97" s="81"/>
      <c r="F97" s="82"/>
      <c r="G97" s="214"/>
      <c r="H97" s="214"/>
      <c r="I97" s="214"/>
      <c r="J97" s="214"/>
      <c r="K97" s="214"/>
      <c r="L97" s="214"/>
      <c r="M97" s="214"/>
      <c r="N97" s="214"/>
      <c r="O97" s="214"/>
      <c r="P97" s="214"/>
      <c r="Q97" s="86"/>
    </row>
    <row r="98" spans="3:17" ht="3" customHeight="1" thickBot="1" x14ac:dyDescent="0.35">
      <c r="C98" s="65"/>
      <c r="D98" s="79"/>
      <c r="E98" s="79"/>
      <c r="F98" s="79"/>
      <c r="G98" s="221"/>
      <c r="H98" s="221"/>
      <c r="I98" s="221"/>
      <c r="J98" s="221"/>
      <c r="K98" s="221"/>
      <c r="L98" s="221"/>
      <c r="M98" s="221"/>
      <c r="N98" s="221"/>
      <c r="O98" s="221"/>
      <c r="P98" s="221"/>
      <c r="Q98" s="66"/>
    </row>
    <row r="99" spans="3:17" s="87" customFormat="1" ht="15.9" customHeight="1" thickBot="1" x14ac:dyDescent="0.35">
      <c r="C99" s="85"/>
      <c r="D99" s="82"/>
      <c r="E99" s="81"/>
      <c r="F99" s="82"/>
      <c r="G99" s="214"/>
      <c r="H99" s="214"/>
      <c r="I99" s="214"/>
      <c r="J99" s="214"/>
      <c r="K99" s="214"/>
      <c r="L99" s="214"/>
      <c r="M99" s="214"/>
      <c r="N99" s="214"/>
      <c r="O99" s="214"/>
      <c r="P99" s="214"/>
      <c r="Q99" s="86"/>
    </row>
    <row r="100" spans="3:17" s="87" customFormat="1" ht="3" customHeight="1" x14ac:dyDescent="0.3">
      <c r="C100" s="85"/>
      <c r="D100" s="82"/>
      <c r="E100" s="82"/>
      <c r="F100" s="82"/>
      <c r="G100" s="82"/>
      <c r="H100" s="82"/>
      <c r="I100" s="82"/>
      <c r="J100" s="82"/>
      <c r="K100" s="82"/>
      <c r="L100" s="82"/>
      <c r="M100" s="82"/>
      <c r="N100" s="82"/>
      <c r="O100" s="82"/>
      <c r="P100" s="82"/>
      <c r="Q100" s="86"/>
    </row>
    <row r="101" spans="3:17" ht="15.9" customHeight="1" x14ac:dyDescent="0.3">
      <c r="C101" s="65"/>
      <c r="D101" s="210" t="s">
        <v>143</v>
      </c>
      <c r="E101" s="210"/>
      <c r="F101" s="210"/>
      <c r="G101" s="210"/>
      <c r="H101" s="210"/>
      <c r="I101" s="210"/>
      <c r="J101" s="210"/>
      <c r="K101" s="210"/>
      <c r="L101" s="210"/>
      <c r="M101" s="210"/>
      <c r="N101" s="210"/>
      <c r="O101" s="210"/>
      <c r="P101" s="210"/>
      <c r="Q101" s="66"/>
    </row>
    <row r="102" spans="3:17" ht="3" customHeight="1" thickBot="1" x14ac:dyDescent="0.35">
      <c r="C102" s="65"/>
      <c r="D102" s="90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P102" s="90"/>
      <c r="Q102" s="66"/>
    </row>
    <row r="103" spans="3:17" ht="15.9" customHeight="1" thickBot="1" x14ac:dyDescent="0.35">
      <c r="C103" s="65"/>
      <c r="D103" s="90"/>
      <c r="E103" s="81"/>
      <c r="F103" s="82"/>
      <c r="G103" s="214"/>
      <c r="H103" s="214"/>
      <c r="I103" s="214"/>
      <c r="J103" s="214"/>
      <c r="K103" s="214"/>
      <c r="L103" s="214"/>
      <c r="M103" s="214"/>
      <c r="N103" s="214"/>
      <c r="O103" s="214"/>
      <c r="P103" s="214"/>
      <c r="Q103" s="66"/>
    </row>
    <row r="104" spans="3:17" ht="3" customHeight="1" thickBot="1" x14ac:dyDescent="0.35">
      <c r="C104" s="65"/>
      <c r="D104" s="90"/>
      <c r="E104" s="83"/>
      <c r="F104" s="82"/>
      <c r="G104" s="82"/>
      <c r="H104" s="82"/>
      <c r="I104" s="82"/>
      <c r="J104" s="82"/>
      <c r="K104" s="82"/>
      <c r="L104" s="82"/>
      <c r="M104" s="82"/>
      <c r="N104" s="82"/>
      <c r="O104" s="82"/>
      <c r="P104" s="82"/>
      <c r="Q104" s="66"/>
    </row>
    <row r="105" spans="3:17" ht="15.9" customHeight="1" thickBot="1" x14ac:dyDescent="0.35">
      <c r="C105" s="65"/>
      <c r="D105" s="90"/>
      <c r="E105" s="81"/>
      <c r="F105" s="82"/>
      <c r="G105" s="214"/>
      <c r="H105" s="214"/>
      <c r="I105" s="214"/>
      <c r="J105" s="214"/>
      <c r="K105" s="214"/>
      <c r="L105" s="214"/>
      <c r="M105" s="214"/>
      <c r="N105" s="214"/>
      <c r="O105" s="214"/>
      <c r="P105" s="214"/>
      <c r="Q105" s="66"/>
    </row>
    <row r="106" spans="3:17" ht="3" customHeight="1" thickBot="1" x14ac:dyDescent="0.35">
      <c r="C106" s="65"/>
      <c r="D106" s="90"/>
      <c r="E106" s="90"/>
      <c r="F106" s="90"/>
      <c r="G106" s="90"/>
      <c r="H106" s="90"/>
      <c r="I106" s="90"/>
      <c r="J106" s="90"/>
      <c r="K106" s="90"/>
      <c r="L106" s="90"/>
      <c r="M106" s="90"/>
      <c r="N106" s="90"/>
      <c r="O106" s="90"/>
      <c r="P106" s="90"/>
      <c r="Q106" s="66"/>
    </row>
    <row r="107" spans="3:17" ht="15.9" customHeight="1" thickBot="1" x14ac:dyDescent="0.35">
      <c r="C107" s="65"/>
      <c r="D107" s="90"/>
      <c r="E107" s="81"/>
      <c r="F107" s="82"/>
      <c r="G107" s="214"/>
      <c r="H107" s="214"/>
      <c r="I107" s="214"/>
      <c r="J107" s="214"/>
      <c r="K107" s="214"/>
      <c r="L107" s="214"/>
      <c r="M107" s="214"/>
      <c r="N107" s="214"/>
      <c r="O107" s="214"/>
      <c r="P107" s="214"/>
      <c r="Q107" s="66"/>
    </row>
    <row r="108" spans="3:17" ht="3" customHeight="1" thickBot="1" x14ac:dyDescent="0.35">
      <c r="C108" s="65"/>
      <c r="D108" s="90"/>
      <c r="E108" s="90"/>
      <c r="F108" s="90"/>
      <c r="G108" s="90"/>
      <c r="H108" s="90"/>
      <c r="I108" s="90"/>
      <c r="J108" s="90"/>
      <c r="K108" s="90"/>
      <c r="L108" s="90"/>
      <c r="M108" s="90"/>
      <c r="N108" s="90"/>
      <c r="O108" s="90"/>
      <c r="P108" s="90"/>
      <c r="Q108" s="66"/>
    </row>
    <row r="109" spans="3:17" ht="15.9" customHeight="1" thickBot="1" x14ac:dyDescent="0.35">
      <c r="C109" s="65"/>
      <c r="D109" s="90"/>
      <c r="E109" s="81"/>
      <c r="F109" s="82"/>
      <c r="G109" s="214"/>
      <c r="H109" s="214"/>
      <c r="I109" s="214"/>
      <c r="J109" s="214"/>
      <c r="K109" s="214"/>
      <c r="L109" s="214"/>
      <c r="M109" s="214"/>
      <c r="N109" s="214"/>
      <c r="O109" s="214"/>
      <c r="P109" s="214"/>
      <c r="Q109" s="66"/>
    </row>
    <row r="110" spans="3:17" ht="3" customHeight="1" thickBot="1" x14ac:dyDescent="0.35">
      <c r="C110" s="65"/>
      <c r="D110" s="90"/>
      <c r="E110" s="90"/>
      <c r="F110" s="90"/>
      <c r="G110" s="90"/>
      <c r="H110" s="90"/>
      <c r="I110" s="90"/>
      <c r="J110" s="90"/>
      <c r="K110" s="90"/>
      <c r="L110" s="90"/>
      <c r="M110" s="90"/>
      <c r="N110" s="90"/>
      <c r="O110" s="90"/>
      <c r="P110" s="90"/>
      <c r="Q110" s="66"/>
    </row>
    <row r="111" spans="3:17" s="87" customFormat="1" ht="15.9" customHeight="1" thickBot="1" x14ac:dyDescent="0.35">
      <c r="C111" s="85"/>
      <c r="D111" s="82"/>
      <c r="E111" s="81"/>
      <c r="F111" s="82"/>
      <c r="G111" s="214"/>
      <c r="H111" s="214"/>
      <c r="I111" s="214"/>
      <c r="J111" s="214"/>
      <c r="K111" s="214"/>
      <c r="L111" s="214"/>
      <c r="M111" s="214"/>
      <c r="N111" s="214"/>
      <c r="O111" s="214"/>
      <c r="P111" s="214"/>
      <c r="Q111" s="86"/>
    </row>
    <row r="112" spans="3:17" ht="3" customHeight="1" thickBot="1" x14ac:dyDescent="0.35">
      <c r="C112" s="65"/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66"/>
    </row>
    <row r="113" spans="3:17" s="87" customFormat="1" ht="15.9" customHeight="1" thickBot="1" x14ac:dyDescent="0.35">
      <c r="C113" s="85"/>
      <c r="D113" s="82"/>
      <c r="E113" s="81"/>
      <c r="F113" s="82"/>
      <c r="G113" s="214"/>
      <c r="H113" s="214"/>
      <c r="I113" s="214"/>
      <c r="J113" s="214"/>
      <c r="K113" s="214"/>
      <c r="L113" s="214"/>
      <c r="M113" s="214"/>
      <c r="N113" s="214"/>
      <c r="O113" s="214"/>
      <c r="P113" s="214"/>
      <c r="Q113" s="86"/>
    </row>
    <row r="114" spans="3:17" ht="3" customHeight="1" thickBot="1" x14ac:dyDescent="0.35">
      <c r="C114" s="65"/>
      <c r="D114" s="79"/>
      <c r="E114" s="79"/>
      <c r="F114" s="79"/>
      <c r="G114" s="221"/>
      <c r="H114" s="221"/>
      <c r="I114" s="221"/>
      <c r="J114" s="221"/>
      <c r="K114" s="221"/>
      <c r="L114" s="221"/>
      <c r="M114" s="221"/>
      <c r="N114" s="221"/>
      <c r="O114" s="221"/>
      <c r="P114" s="221"/>
      <c r="Q114" s="66"/>
    </row>
    <row r="115" spans="3:17" s="87" customFormat="1" ht="15.9" customHeight="1" thickBot="1" x14ac:dyDescent="0.35">
      <c r="C115" s="85"/>
      <c r="D115" s="82"/>
      <c r="E115" s="81"/>
      <c r="F115" s="82"/>
      <c r="G115" s="214"/>
      <c r="H115" s="214"/>
      <c r="I115" s="214"/>
      <c r="J115" s="214"/>
      <c r="K115" s="214"/>
      <c r="L115" s="214"/>
      <c r="M115" s="214"/>
      <c r="N115" s="214"/>
      <c r="O115" s="214"/>
      <c r="P115" s="214"/>
      <c r="Q115" s="86"/>
    </row>
    <row r="116" spans="3:17" s="87" customFormat="1" ht="3" customHeight="1" x14ac:dyDescent="0.3">
      <c r="C116" s="85"/>
      <c r="D116" s="95"/>
      <c r="E116" s="95"/>
      <c r="F116" s="95"/>
      <c r="G116" s="96"/>
      <c r="H116" s="96"/>
      <c r="I116" s="96"/>
      <c r="J116" s="96"/>
      <c r="K116" s="96"/>
      <c r="L116" s="96"/>
      <c r="M116" s="96"/>
      <c r="N116" s="96"/>
      <c r="O116" s="96"/>
      <c r="P116" s="96"/>
      <c r="Q116" s="86"/>
    </row>
    <row r="117" spans="3:17" ht="5.25" customHeight="1" thickBot="1" x14ac:dyDescent="0.35">
      <c r="C117" s="71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3"/>
    </row>
  </sheetData>
  <sheetProtection selectLockedCells="1"/>
  <mergeCells count="90">
    <mergeCell ref="G111:P111"/>
    <mergeCell ref="G113:P113"/>
    <mergeCell ref="G114:P114"/>
    <mergeCell ref="G115:P115"/>
    <mergeCell ref="G99:P99"/>
    <mergeCell ref="D101:P101"/>
    <mergeCell ref="G103:P103"/>
    <mergeCell ref="G105:P105"/>
    <mergeCell ref="G107:P107"/>
    <mergeCell ref="G109:P109"/>
    <mergeCell ref="G98:P98"/>
    <mergeCell ref="G79:P79"/>
    <mergeCell ref="G81:P81"/>
    <mergeCell ref="G82:P82"/>
    <mergeCell ref="G83:P83"/>
    <mergeCell ref="D85:P85"/>
    <mergeCell ref="G87:P87"/>
    <mergeCell ref="G89:P89"/>
    <mergeCell ref="G91:P91"/>
    <mergeCell ref="G93:P93"/>
    <mergeCell ref="G95:P95"/>
    <mergeCell ref="G97:P97"/>
    <mergeCell ref="G77:P77"/>
    <mergeCell ref="G57:P57"/>
    <mergeCell ref="G59:P59"/>
    <mergeCell ref="G61:P61"/>
    <mergeCell ref="G63:P63"/>
    <mergeCell ref="G65:P65"/>
    <mergeCell ref="G66:P66"/>
    <mergeCell ref="G67:P67"/>
    <mergeCell ref="D69:P69"/>
    <mergeCell ref="G71:P71"/>
    <mergeCell ref="G73:P73"/>
    <mergeCell ref="G75:P75"/>
    <mergeCell ref="G55:P55"/>
    <mergeCell ref="W55:AF55"/>
    <mergeCell ref="G45:P45"/>
    <mergeCell ref="W45:AF45"/>
    <mergeCell ref="G47:P47"/>
    <mergeCell ref="W47:AF47"/>
    <mergeCell ref="G49:P49"/>
    <mergeCell ref="T49:AF49"/>
    <mergeCell ref="G50:P50"/>
    <mergeCell ref="G51:P51"/>
    <mergeCell ref="W51:AF51"/>
    <mergeCell ref="D53:P53"/>
    <mergeCell ref="W53:AF53"/>
    <mergeCell ref="G39:P39"/>
    <mergeCell ref="W39:AF39"/>
    <mergeCell ref="G41:P41"/>
    <mergeCell ref="T41:AF41"/>
    <mergeCell ref="G43:P43"/>
    <mergeCell ref="W43:AF43"/>
    <mergeCell ref="D37:P37"/>
    <mergeCell ref="W37:AF37"/>
    <mergeCell ref="G27:P27"/>
    <mergeCell ref="W27:AF27"/>
    <mergeCell ref="G29:P29"/>
    <mergeCell ref="W29:AF29"/>
    <mergeCell ref="G31:P31"/>
    <mergeCell ref="T31:AF31"/>
    <mergeCell ref="G33:P33"/>
    <mergeCell ref="T33:AF33"/>
    <mergeCell ref="G34:P34"/>
    <mergeCell ref="G35:P35"/>
    <mergeCell ref="W35:AF35"/>
    <mergeCell ref="D21:P21"/>
    <mergeCell ref="W21:AF21"/>
    <mergeCell ref="G23:P23"/>
    <mergeCell ref="T23:AF23"/>
    <mergeCell ref="G25:P25"/>
    <mergeCell ref="W25:AF25"/>
    <mergeCell ref="G15:P15"/>
    <mergeCell ref="T15:AF15"/>
    <mergeCell ref="G17:P17"/>
    <mergeCell ref="W17:AF17"/>
    <mergeCell ref="G19:P19"/>
    <mergeCell ref="W19:AF19"/>
    <mergeCell ref="G9:P9"/>
    <mergeCell ref="W9:AF9"/>
    <mergeCell ref="G11:P11"/>
    <mergeCell ref="W11:AF11"/>
    <mergeCell ref="G13:P13"/>
    <mergeCell ref="W13:AF13"/>
    <mergeCell ref="D3:P3"/>
    <mergeCell ref="T3:AF3"/>
    <mergeCell ref="D5:P5"/>
    <mergeCell ref="T5:AF5"/>
    <mergeCell ref="G7:P7"/>
    <mergeCell ref="T7:AF7"/>
  </mergeCells>
  <printOptions horizontalCentered="1" verticalCentered="1"/>
  <pageMargins left="0.25" right="0.25" top="0.5" bottom="0.25" header="0.3" footer="0.3"/>
  <pageSetup paperSize="9" scale="9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C997"/>
  <sheetViews>
    <sheetView showGridLines="0" showRowColHeaders="0" zoomScaleNormal="100" workbookViewId="0">
      <pane ySplit="3" topLeftCell="A4" activePane="bottomLeft" state="frozen"/>
      <selection pane="bottomLeft" activeCell="M5" sqref="M5"/>
    </sheetView>
  </sheetViews>
  <sheetFormatPr defaultColWidth="0" defaultRowHeight="49.5" customHeight="1" x14ac:dyDescent="0.3"/>
  <cols>
    <col min="1" max="1" width="3.6640625" style="46" customWidth="1"/>
    <col min="2" max="2" width="11.88671875" style="98" customWidth="1"/>
    <col min="3" max="3" width="10.5546875" style="57" customWidth="1"/>
    <col min="4" max="5" width="17.88671875" style="58" customWidth="1"/>
    <col min="6" max="6" width="14.33203125" style="58" customWidth="1"/>
    <col min="7" max="7" width="10.88671875" style="59" customWidth="1"/>
    <col min="8" max="8" width="16" style="139" customWidth="1"/>
    <col min="9" max="9" width="19.6640625" style="140" customWidth="1"/>
    <col min="10" max="10" width="16" style="140" customWidth="1"/>
    <col min="11" max="12" width="10.6640625" style="58" customWidth="1"/>
    <col min="13" max="13" width="71.109375" style="57" customWidth="1"/>
    <col min="14" max="14" width="5.88671875" style="43" hidden="1" customWidth="1"/>
    <col min="15" max="15" width="6.44140625" style="43" hidden="1" customWidth="1"/>
    <col min="16" max="16" width="6.109375" style="43" hidden="1" customWidth="1"/>
    <col min="17" max="17" width="8" style="43" hidden="1" customWidth="1"/>
    <col min="18" max="20" width="15.109375" style="139" hidden="1" customWidth="1"/>
    <col min="21" max="21" width="20.88671875" style="139" hidden="1" customWidth="1"/>
    <col min="22" max="22" width="9.109375" style="42" hidden="1" customWidth="1"/>
    <col min="23" max="23" width="13.33203125" style="148" hidden="1" customWidth="1"/>
    <col min="24" max="24" width="15.88671875" style="151" hidden="1" customWidth="1"/>
    <col min="25" max="25" width="18" style="44" hidden="1" customWidth="1"/>
    <col min="26" max="27" width="16.44140625" style="53" hidden="1" customWidth="1"/>
    <col min="28" max="28" width="3" style="45" customWidth="1"/>
    <col min="29" max="29" width="17" style="43" hidden="1" customWidth="1"/>
    <col min="30" max="16384" width="9.109375" style="46" hidden="1"/>
  </cols>
  <sheetData>
    <row r="1" spans="2:29" ht="19.95" customHeight="1" x14ac:dyDescent="0.3"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V1" s="45"/>
      <c r="W1" s="139"/>
      <c r="X1" s="139"/>
      <c r="Y1" s="45"/>
      <c r="Z1" s="43"/>
      <c r="AA1" s="43"/>
      <c r="AB1" s="46"/>
      <c r="AC1" s="46"/>
    </row>
    <row r="2" spans="2:29" ht="31.5" customHeight="1" x14ac:dyDescent="0.3">
      <c r="B2" s="222" t="s">
        <v>19</v>
      </c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2"/>
      <c r="V2" s="45"/>
      <c r="W2" s="139"/>
      <c r="X2" s="139"/>
      <c r="Y2" s="45"/>
      <c r="Z2" s="43"/>
      <c r="AA2" s="43"/>
      <c r="AB2" s="46"/>
      <c r="AC2" s="46"/>
    </row>
    <row r="3" spans="2:29" ht="30" customHeight="1" x14ac:dyDescent="0.3">
      <c r="B3" s="104" t="s">
        <v>6</v>
      </c>
      <c r="C3" s="105" t="s">
        <v>7</v>
      </c>
      <c r="D3" s="105" t="s">
        <v>8</v>
      </c>
      <c r="E3" s="105" t="s">
        <v>40</v>
      </c>
      <c r="F3" s="106" t="s">
        <v>9</v>
      </c>
      <c r="G3" s="107" t="s">
        <v>10</v>
      </c>
      <c r="H3" s="131" t="s">
        <v>13</v>
      </c>
      <c r="I3" s="132" t="s">
        <v>11</v>
      </c>
      <c r="J3" s="131" t="s">
        <v>12</v>
      </c>
      <c r="K3" s="106" t="s">
        <v>14</v>
      </c>
      <c r="L3" s="106" t="s">
        <v>182</v>
      </c>
      <c r="M3" s="105" t="s">
        <v>15</v>
      </c>
      <c r="N3" s="47" t="s">
        <v>20</v>
      </c>
      <c r="O3" s="47" t="s">
        <v>29</v>
      </c>
      <c r="P3" s="47" t="s">
        <v>30</v>
      </c>
      <c r="Q3" s="47" t="s">
        <v>59</v>
      </c>
      <c r="R3" s="147" t="s">
        <v>33</v>
      </c>
      <c r="S3" s="147" t="s">
        <v>44</v>
      </c>
      <c r="T3" s="147" t="s">
        <v>31</v>
      </c>
      <c r="U3" s="147" t="s">
        <v>51</v>
      </c>
      <c r="V3" s="48" t="s">
        <v>22</v>
      </c>
      <c r="W3" s="147" t="s">
        <v>16</v>
      </c>
      <c r="X3" s="147" t="s">
        <v>32</v>
      </c>
      <c r="Y3" s="49" t="s">
        <v>17</v>
      </c>
      <c r="Z3" s="50" t="s">
        <v>21</v>
      </c>
      <c r="AA3" s="123" t="s">
        <v>172</v>
      </c>
      <c r="AB3" s="46"/>
      <c r="AC3" s="46"/>
    </row>
    <row r="4" spans="2:29" ht="49.5" customHeight="1" x14ac:dyDescent="0.3">
      <c r="B4" s="97">
        <v>44438</v>
      </c>
      <c r="C4" s="54" t="s">
        <v>186</v>
      </c>
      <c r="D4" s="55" t="s">
        <v>0</v>
      </c>
      <c r="E4" s="55" t="s">
        <v>71</v>
      </c>
      <c r="F4" s="55" t="s">
        <v>28</v>
      </c>
      <c r="G4" s="56" t="s">
        <v>154</v>
      </c>
      <c r="H4" s="133">
        <f>IF(Tabela2[[#This Row],[Data]]&lt;&gt;"",Tabela2[[#This Row],[Balanço-1 $]],"")</f>
        <v>0</v>
      </c>
      <c r="I4" s="134">
        <v>5000</v>
      </c>
      <c r="J4" s="134">
        <v>237</v>
      </c>
      <c r="K4" s="55" t="s">
        <v>1</v>
      </c>
      <c r="L4" s="55" t="s">
        <v>184</v>
      </c>
      <c r="M4" s="54" t="s">
        <v>166</v>
      </c>
      <c r="N4" s="51">
        <f>DAY(Tabela2[[#This Row],[Data]])</f>
        <v>30</v>
      </c>
      <c r="O4" s="51">
        <f>MONTH(Tabela2[[#This Row],[Data]])</f>
        <v>8</v>
      </c>
      <c r="P4" s="51">
        <f>YEAR(Tabela2[[#This Row],[Data]])</f>
        <v>2021</v>
      </c>
      <c r="Q4" s="51">
        <f>WEEKNUM(Tabela2[[#This Row],[Data]],1)</f>
        <v>36</v>
      </c>
      <c r="R4" s="133">
        <v>0</v>
      </c>
      <c r="S4" s="133">
        <f>Tabela2[[#This Row],[Balanço $]]+Tabela2[[#This Row],[Aporte / Retirada $]]</f>
        <v>5000</v>
      </c>
      <c r="T4" s="133">
        <f>Tabela2[[#This Row],[Balanço $]]+Tabela2[[#This Row],[Aporte / Retirada $]]+Tabela2[[#This Row],[Resultado $]]</f>
        <v>5237</v>
      </c>
      <c r="U4" s="133">
        <f>Tabela2[[#This Row],[Aporte / Retirada $]]</f>
        <v>5000</v>
      </c>
      <c r="V4" s="52">
        <f>SUM(Tabela2[[#This Row],[Resultado $]]/(Tabela2[[#This Row],[Aporte / Retirada $]]+Tabela2[[#This Row],[Balanço $]]))</f>
        <v>4.7399999999999998E-2</v>
      </c>
      <c r="W4" s="133">
        <f t="array" ref="W4">IF(Tabela2[[#This Row],[Balanço $]]=0,IF(Tabela2[[#This Row],[Resultado $]]&gt;0,Tabela2[[#This Row],[Balanço Final $]],Tabela2[[#This Row],[Balanço-2 $]]),IF(Tabela2[[#This Row],[Aporte / Retirada $]]=0,MAX(T4,W3),IF(Tabela2[[#This Row],[Aporte / Retirada $]]&lt;0,MAX((W3+U4),T4),IF(Tabela2[[#This Row],[Aporte / Retirada $]]&gt;0,MAX(T4,(W3+U4))))))</f>
        <v>5237</v>
      </c>
      <c r="X4" s="133" t="str">
        <f t="array" ref="X4">IF(Tabela2[[#This Row],[Resultado $]]&lt;0,IF(Tabela2[[#This Row],[Balanço $]]=0,IF(T4&lt;N(W4),T4-W4,""),IF(I4&lt;0,IF(T4&lt;N(W4),T4-W4,""),IF(I4=0,IF(T4&lt;N(W4),T4-W4,""),IF(I4&gt;0,IF(((T4-U4)+J4)&lt;N(W4),W4-T4,""))))),"")</f>
        <v/>
      </c>
      <c r="Y4" s="52" t="str">
        <f t="shared" ref="Y4:Y5" si="0">IF(X4&lt;&gt;"",-X4/W4,"")</f>
        <v/>
      </c>
      <c r="Z4" s="51" t="str">
        <f>IF(Tabela2[[#This Row],[Drawdown %]]&lt;&gt;"",Tabela2[[#This Row],[Dia]],"")</f>
        <v/>
      </c>
      <c r="AA4" s="146">
        <f t="shared" ref="AA4:AA8" si="1">IF(AA3="Índice",1,AA3+1)</f>
        <v>1</v>
      </c>
      <c r="AB4" s="46"/>
      <c r="AC4" s="46"/>
    </row>
    <row r="5" spans="2:29" ht="49.5" customHeight="1" x14ac:dyDescent="0.3">
      <c r="B5" s="97">
        <v>44439</v>
      </c>
      <c r="C5" s="54" t="s">
        <v>187</v>
      </c>
      <c r="D5" s="55" t="s">
        <v>0</v>
      </c>
      <c r="E5" s="55" t="s">
        <v>72</v>
      </c>
      <c r="F5" s="55" t="s">
        <v>28</v>
      </c>
      <c r="G5" s="56" t="s">
        <v>154</v>
      </c>
      <c r="H5" s="133">
        <f>IF(Tabela2[[#This Row],[Data]]&lt;&gt;"",Tabela2[[#This Row],[Balanço-1 $]],"")</f>
        <v>5237</v>
      </c>
      <c r="I5" s="134">
        <v>50</v>
      </c>
      <c r="J5" s="134">
        <v>57</v>
      </c>
      <c r="K5" s="55" t="s">
        <v>1</v>
      </c>
      <c r="L5" s="55" t="s">
        <v>184</v>
      </c>
      <c r="M5" s="54"/>
      <c r="N5" s="51">
        <f>DAY(Tabela2[[#This Row],[Data]])</f>
        <v>31</v>
      </c>
      <c r="O5" s="51">
        <f>MONTH(Tabela2[[#This Row],[Data]])</f>
        <v>8</v>
      </c>
      <c r="P5" s="51">
        <f>YEAR(Tabela2[[#This Row],[Data]])</f>
        <v>2021</v>
      </c>
      <c r="Q5" s="51">
        <f>WEEKNUM(Tabela2[[#This Row],[Data]],1)</f>
        <v>36</v>
      </c>
      <c r="R5" s="133">
        <f t="shared" ref="R5" si="2">T4</f>
        <v>5237</v>
      </c>
      <c r="S5" s="133">
        <f>Tabela2[[#This Row],[Balanço $]]+Tabela2[[#This Row],[Aporte / Retirada $]]</f>
        <v>5287</v>
      </c>
      <c r="T5" s="133">
        <f>Tabela2[[#This Row],[Balanço $]]+Tabela2[[#This Row],[Aporte / Retirada $]]+Tabela2[[#This Row],[Resultado $]]</f>
        <v>5344</v>
      </c>
      <c r="U5" s="133">
        <f>Tabela2[[#This Row],[Aporte / Retirada $]]</f>
        <v>50</v>
      </c>
      <c r="V5" s="52">
        <f>SUM(Tabela2[[#This Row],[Resultado $]]/(Tabela2[[#This Row],[Aporte / Retirada $]]+Tabela2[[#This Row],[Balanço $]]))</f>
        <v>1.0781161339133724E-2</v>
      </c>
      <c r="W5" s="133">
        <f t="array" ref="W5">IF(Tabela2[[#This Row],[Balanço $]]=0,IF(Tabela2[[#This Row],[Resultado $]]&gt;0,Tabela2[[#This Row],[Balanço Final $]],Tabela2[[#This Row],[Balanço-2 $]]),IF(Tabela2[[#This Row],[Aporte / Retirada $]]=0,MAX(T5,W4),IF(Tabela2[[#This Row],[Aporte / Retirada $]]&lt;0,MAX((W4+U5),T5),IF(Tabela2[[#This Row],[Aporte / Retirada $]]&gt;0,MAX(T5,(W4+U5))))))</f>
        <v>5344</v>
      </c>
      <c r="X5" s="133" t="str">
        <f t="array" ref="X5">IF(Tabela2[[#This Row],[Resultado $]]&lt;0,IF(Tabela2[[#This Row],[Balanço $]]=0,IF(T5&lt;N(W5),T5-W5,""),IF(I5&lt;0,IF(T5&lt;N(W5),T5-W5,""),IF(I5=0,IF(T5&lt;N(W5),T5-W5,""),IF(I5&gt;0,IF(((T5-U5)+J5)&lt;N(W5),W5-T5,""))))),"")</f>
        <v/>
      </c>
      <c r="Y5" s="52" t="str">
        <f t="shared" si="0"/>
        <v/>
      </c>
      <c r="Z5" s="51" t="str">
        <f>IF(Tabela2[[#This Row],[Drawdown %]]&lt;&gt;"",Tabela2[[#This Row],[Dia]],"")</f>
        <v/>
      </c>
      <c r="AA5" s="146">
        <f t="shared" si="1"/>
        <v>2</v>
      </c>
      <c r="AB5" s="46"/>
      <c r="AC5" s="46"/>
    </row>
    <row r="6" spans="2:29" ht="49.5" customHeight="1" x14ac:dyDescent="0.3">
      <c r="B6" s="108">
        <v>44440</v>
      </c>
      <c r="C6" s="109" t="s">
        <v>189</v>
      </c>
      <c r="D6" s="110" t="s">
        <v>2</v>
      </c>
      <c r="E6" s="110" t="s">
        <v>71</v>
      </c>
      <c r="F6" s="110" t="s">
        <v>27</v>
      </c>
      <c r="G6" s="111" t="s">
        <v>155</v>
      </c>
      <c r="H6" s="135">
        <f>IF(Tabela2[[#This Row],[Data]]&lt;&gt;"",Tabela2[[#This Row],[Balanço-1 $]],"")</f>
        <v>5344</v>
      </c>
      <c r="I6" s="136">
        <v>-100</v>
      </c>
      <c r="J6" s="136">
        <v>-117</v>
      </c>
      <c r="K6" s="110" t="s">
        <v>4</v>
      </c>
      <c r="L6" s="110" t="s">
        <v>184</v>
      </c>
      <c r="M6" s="109"/>
      <c r="N6" s="112">
        <f>DAY(Tabela2[[#This Row],[Data]])</f>
        <v>1</v>
      </c>
      <c r="O6" s="112">
        <f>MONTH(Tabela2[[#This Row],[Data]])</f>
        <v>9</v>
      </c>
      <c r="P6" s="112">
        <f>YEAR(Tabela2[[#This Row],[Data]])</f>
        <v>2021</v>
      </c>
      <c r="Q6" s="112">
        <f>WEEKNUM(Tabela2[[#This Row],[Data]],1)</f>
        <v>36</v>
      </c>
      <c r="R6" s="135">
        <f>T5</f>
        <v>5344</v>
      </c>
      <c r="S6" s="135">
        <f>Tabela2[[#This Row],[Balanço $]]+Tabela2[[#This Row],[Aporte / Retirada $]]</f>
        <v>5244</v>
      </c>
      <c r="T6" s="135">
        <f>Tabela2[[#This Row],[Balanço $]]+Tabela2[[#This Row],[Aporte / Retirada $]]+Tabela2[[#This Row],[Resultado $]]</f>
        <v>5127</v>
      </c>
      <c r="U6" s="135">
        <f>Tabela2[[#This Row],[Aporte / Retirada $]]</f>
        <v>-100</v>
      </c>
      <c r="V6" s="113">
        <f>SUM(Tabela2[[#This Row],[Resultado $]]/(Tabela2[[#This Row],[Aporte / Retirada $]]+Tabela2[[#This Row],[Balanço $]]))</f>
        <v>-2.231121281464531E-2</v>
      </c>
      <c r="W6" s="135">
        <f t="array" ref="W6">IF(Tabela2[[#This Row],[Balanço $]]=0,IF(Tabela2[[#This Row],[Resultado $]]&gt;0,Tabela2[[#This Row],[Balanço Final $]],Tabela2[[#This Row],[Balanço-2 $]]),IF(Tabela2[[#This Row],[Aporte / Retirada $]]=0,MAX(T6,W5),IF(Tabela2[[#This Row],[Aporte / Retirada $]]&lt;0,MAX((W5+U6),T6),IF(Tabela2[[#This Row],[Aporte / Retirada $]]&gt;0,MAX(T6,(W5+U6))))))</f>
        <v>5244</v>
      </c>
      <c r="X6" s="149">
        <f t="array" ref="X6">IF(Tabela2[[#This Row],[Resultado $]]&lt;0,IF(Tabela2[[#This Row],[Balanço $]]=0,IF(T6&lt;N(W6),T6-W6,""),IF(I6&lt;0,IF(T6&lt;N(W6),T6-W6,""),IF(I6=0,IF(T6&lt;N(W6),T6-W6,""),IF(I6&gt;0,IF(((T6-U6)+J6)&lt;N(W6),W6-T6,""))))),"")</f>
        <v>-117</v>
      </c>
      <c r="Y6" s="113">
        <f>IF(X6&lt;&gt;"",-X6/W6,"")</f>
        <v>2.231121281464531E-2</v>
      </c>
      <c r="Z6" s="112">
        <f>IF(Tabela2[[#This Row],[Drawdown %]]&lt;&gt;"",Tabela2[[#This Row],[Dia]],"")</f>
        <v>1</v>
      </c>
      <c r="AA6" s="146">
        <f t="shared" si="1"/>
        <v>3</v>
      </c>
    </row>
    <row r="7" spans="2:29" ht="49.5" customHeight="1" x14ac:dyDescent="0.3">
      <c r="B7" s="108">
        <v>44441</v>
      </c>
      <c r="C7" s="109" t="s">
        <v>188</v>
      </c>
      <c r="D7" s="110" t="s">
        <v>2</v>
      </c>
      <c r="E7" s="110" t="s">
        <v>73</v>
      </c>
      <c r="F7" s="110" t="s">
        <v>24</v>
      </c>
      <c r="G7" s="111" t="s">
        <v>156</v>
      </c>
      <c r="H7" s="135">
        <f>IF(Tabela2[[#This Row],[Data]]&lt;&gt;"",Tabela2[[#This Row],[Balanço-1 $]],"")</f>
        <v>5127</v>
      </c>
      <c r="I7" s="136">
        <v>-500</v>
      </c>
      <c r="J7" s="136">
        <v>0</v>
      </c>
      <c r="K7" s="110" t="s">
        <v>3</v>
      </c>
      <c r="L7" s="110" t="s">
        <v>184</v>
      </c>
      <c r="M7" s="109"/>
      <c r="N7" s="112">
        <f>DAY(Tabela2[[#This Row],[Data]])</f>
        <v>2</v>
      </c>
      <c r="O7" s="112">
        <f>MONTH(Tabela2[[#This Row],[Data]])</f>
        <v>9</v>
      </c>
      <c r="P7" s="112">
        <f>YEAR(Tabela2[[#This Row],[Data]])</f>
        <v>2021</v>
      </c>
      <c r="Q7" s="112">
        <f>WEEKNUM(Tabela2[[#This Row],[Data]],1)</f>
        <v>36</v>
      </c>
      <c r="R7" s="135">
        <f>T6</f>
        <v>5127</v>
      </c>
      <c r="S7" s="135">
        <f>Tabela2[[#This Row],[Balanço $]]+Tabela2[[#This Row],[Aporte / Retirada $]]</f>
        <v>4627</v>
      </c>
      <c r="T7" s="135">
        <f>Tabela2[[#This Row],[Balanço $]]+Tabela2[[#This Row],[Aporte / Retirada $]]+Tabela2[[#This Row],[Resultado $]]</f>
        <v>4627</v>
      </c>
      <c r="U7" s="135">
        <f>Tabela2[[#This Row],[Aporte / Retirada $]]</f>
        <v>-500</v>
      </c>
      <c r="V7" s="113">
        <f>SUM(Tabela2[[#This Row],[Resultado $]]/(Tabela2[[#This Row],[Aporte / Retirada $]]+Tabela2[[#This Row],[Balanço $]]))</f>
        <v>0</v>
      </c>
      <c r="W7" s="135">
        <f t="array" ref="W7">IF(Tabela2[[#This Row],[Balanço $]]=0,IF(Tabela2[[#This Row],[Resultado $]]&gt;0,Tabela2[[#This Row],[Balanço Final $]],Tabela2[[#This Row],[Balanço-2 $]]),IF(Tabela2[[#This Row],[Aporte / Retirada $]]=0,MAX(T7,W6),IF(Tabela2[[#This Row],[Aporte / Retirada $]]&lt;0,MAX((W6+U7),T7),IF(Tabela2[[#This Row],[Aporte / Retirada $]]&gt;0,MAX(T7,(W6+U7))))))</f>
        <v>4744</v>
      </c>
      <c r="X7" s="149" t="str">
        <f t="array" ref="X7">IF(Tabela2[[#This Row],[Resultado $]]&lt;0,IF(Tabela2[[#This Row],[Balanço $]]=0,IF(T7&lt;N(W7),T7-W7,""),IF(I7&lt;0,IF(T7&lt;N(W7),T7-W7,""),IF(I7=0,IF(T7&lt;N(W7),T7-W7,""),IF(I7&gt;0,IF(((T7-U7)+J7)&lt;N(W7),W7-T7,""))))),"")</f>
        <v/>
      </c>
      <c r="Y7" s="113" t="str">
        <f>IF(X7&lt;&gt;"",-X7/W7,"")</f>
        <v/>
      </c>
      <c r="Z7" s="112" t="str">
        <f>IF(Tabela2[[#This Row],[Drawdown %]]&lt;&gt;"",Tabela2[[#This Row],[Dia]],"")</f>
        <v/>
      </c>
      <c r="AA7" s="146">
        <f t="shared" si="1"/>
        <v>4</v>
      </c>
    </row>
    <row r="8" spans="2:29" ht="49.5" customHeight="1" x14ac:dyDescent="0.3">
      <c r="B8" s="117"/>
      <c r="C8" s="118"/>
      <c r="D8" s="119"/>
      <c r="E8" s="119"/>
      <c r="F8" s="119"/>
      <c r="G8" s="120"/>
      <c r="H8" s="137" t="str">
        <f>IF(Tabela2[[#This Row],[Data]]&lt;&gt;"",Tabela2[[#This Row],[Balanço-1 $]],"")</f>
        <v/>
      </c>
      <c r="I8" s="138"/>
      <c r="J8" s="138"/>
      <c r="K8" s="119"/>
      <c r="L8" s="119"/>
      <c r="M8" s="118"/>
      <c r="N8" s="121">
        <f>DAY(Tabela2[[#This Row],[Data]])</f>
        <v>0</v>
      </c>
      <c r="O8" s="121">
        <f>MONTH(Tabela2[[#This Row],[Data]])</f>
        <v>1</v>
      </c>
      <c r="P8" s="121">
        <f>YEAR(Tabela2[[#This Row],[Data]])</f>
        <v>1900</v>
      </c>
      <c r="Q8" s="121">
        <f>WEEKNUM(Tabela2[[#This Row],[Data]],1)</f>
        <v>0</v>
      </c>
      <c r="R8" s="137">
        <f>T7</f>
        <v>4627</v>
      </c>
      <c r="S8" s="137" t="e">
        <f>Tabela2[[#This Row],[Balanço $]]+Tabela2[[#This Row],[Aporte / Retirada $]]</f>
        <v>#VALUE!</v>
      </c>
      <c r="T8" s="137" t="e">
        <f>Tabela2[[#This Row],[Balanço $]]+Tabela2[[#This Row],[Aporte / Retirada $]]+Tabela2[[#This Row],[Resultado $]]</f>
        <v>#VALUE!</v>
      </c>
      <c r="U8" s="137">
        <f>Tabela2[[#This Row],[Aporte / Retirada $]]</f>
        <v>0</v>
      </c>
      <c r="V8" s="122" t="e">
        <f>SUM(Tabela2[[#This Row],[Resultado $]]/(Tabela2[[#This Row],[Aporte / Retirada $]]+Tabela2[[#This Row],[Balanço $]]))</f>
        <v>#VALUE!</v>
      </c>
      <c r="W8" s="137" t="e">
        <f t="array" ref="W8">IF(Tabela2[[#This Row],[Balanço $]]=0,IF(Tabela2[[#This Row],[Resultado $]]&gt;0,Tabela2[[#This Row],[Balanço Final $]],Tabela2[[#This Row],[Balanço-2 $]]),IF(Tabela2[[#This Row],[Aporte / Retirada $]]=0,MAX(T8,W7),IF(Tabela2[[#This Row],[Aporte / Retirada $]]&lt;0,MAX((W7+U8),T8),IF(Tabela2[[#This Row],[Aporte / Retirada $]]&gt;0,MAX(T8,(W7+U8))))))</f>
        <v>#VALUE!</v>
      </c>
      <c r="X8" s="150" t="str">
        <f t="array" ref="X8">IF(Tabela2[[#This Row],[Resultado $]]&lt;0,IF(Tabela2[[#This Row],[Balanço $]]=0,IF(T8&lt;N(W8),T8-W8,""),IF(I8&lt;0,IF(T8&lt;N(W8),T8-W8,""),IF(I8=0,IF(T8&lt;N(W8),T8-W8,""),IF(I8&gt;0,IF(((T8-U8)+J8)&lt;N(W8),W8-T8,""))))),"")</f>
        <v/>
      </c>
      <c r="Y8" s="122" t="str">
        <f>IF(X8&lt;&gt;"",-X8/W8,"")</f>
        <v/>
      </c>
      <c r="Z8" s="121" t="str">
        <f>IF(Tabela2[[#This Row],[Drawdown %]]&lt;&gt;"",Tabela2[[#This Row],[Dia]],"")</f>
        <v/>
      </c>
      <c r="AA8" s="146">
        <f t="shared" si="1"/>
        <v>5</v>
      </c>
    </row>
    <row r="9" spans="2:29" ht="49.5" customHeight="1" x14ac:dyDescent="0.3">
      <c r="B9" s="97"/>
      <c r="C9" s="54"/>
      <c r="D9" s="55"/>
      <c r="E9" s="55"/>
      <c r="F9" s="55"/>
      <c r="G9" s="56"/>
      <c r="H9" s="133"/>
      <c r="I9" s="134"/>
      <c r="J9" s="134"/>
      <c r="K9" s="55"/>
      <c r="L9" s="55"/>
      <c r="M9" s="54"/>
    </row>
    <row r="10" spans="2:29" ht="49.5" customHeight="1" x14ac:dyDescent="0.3">
      <c r="B10" s="97"/>
      <c r="C10" s="54"/>
      <c r="D10" s="55"/>
      <c r="E10" s="55"/>
      <c r="F10" s="55"/>
      <c r="G10" s="56"/>
      <c r="H10" s="133"/>
      <c r="I10" s="134"/>
      <c r="J10" s="134"/>
      <c r="K10" s="55"/>
      <c r="L10" s="55"/>
      <c r="M10" s="54"/>
    </row>
    <row r="11" spans="2:29" ht="49.5" customHeight="1" x14ac:dyDescent="0.3">
      <c r="B11" s="97"/>
      <c r="C11" s="54"/>
      <c r="D11" s="55"/>
      <c r="E11" s="55"/>
      <c r="F11" s="55"/>
      <c r="G11" s="56"/>
      <c r="H11" s="133"/>
      <c r="I11" s="134"/>
      <c r="J11" s="134"/>
      <c r="K11" s="55"/>
      <c r="L11" s="55"/>
      <c r="M11" s="54"/>
    </row>
    <row r="12" spans="2:29" ht="49.5" customHeight="1" x14ac:dyDescent="0.3">
      <c r="B12" s="97"/>
      <c r="C12" s="54"/>
      <c r="D12" s="55"/>
      <c r="E12" s="55"/>
      <c r="F12" s="55"/>
      <c r="G12" s="56"/>
      <c r="H12" s="133"/>
      <c r="I12" s="134"/>
      <c r="J12" s="134"/>
      <c r="K12" s="55"/>
      <c r="L12" s="55"/>
      <c r="M12" s="54"/>
    </row>
    <row r="13" spans="2:29" ht="49.5" customHeight="1" x14ac:dyDescent="0.3">
      <c r="B13" s="97"/>
      <c r="C13" s="54"/>
      <c r="D13" s="55"/>
      <c r="E13" s="55"/>
      <c r="F13" s="55"/>
      <c r="G13" s="56"/>
      <c r="H13" s="133"/>
      <c r="I13" s="134"/>
      <c r="J13" s="134"/>
      <c r="K13" s="55"/>
      <c r="L13" s="55"/>
      <c r="M13" s="54"/>
    </row>
    <row r="14" spans="2:29" ht="49.5" customHeight="1" x14ac:dyDescent="0.3">
      <c r="B14" s="97"/>
      <c r="C14" s="54"/>
      <c r="D14" s="55"/>
      <c r="E14" s="55"/>
      <c r="F14" s="55"/>
      <c r="G14" s="56"/>
      <c r="H14" s="133"/>
      <c r="I14" s="134"/>
      <c r="J14" s="134"/>
      <c r="K14" s="55"/>
      <c r="L14" s="55"/>
      <c r="M14" s="54"/>
    </row>
    <row r="15" spans="2:29" ht="49.5" customHeight="1" x14ac:dyDescent="0.3">
      <c r="B15" s="97"/>
      <c r="C15" s="54"/>
      <c r="D15" s="55"/>
      <c r="E15" s="55"/>
      <c r="F15" s="55"/>
      <c r="G15" s="56"/>
      <c r="H15" s="133"/>
      <c r="I15" s="134"/>
      <c r="J15" s="134"/>
      <c r="K15" s="55"/>
      <c r="L15" s="55"/>
      <c r="M15" s="54"/>
    </row>
    <row r="16" spans="2:29" ht="49.5" customHeight="1" x14ac:dyDescent="0.3">
      <c r="B16" s="97"/>
      <c r="C16" s="54"/>
      <c r="D16" s="55"/>
      <c r="E16" s="55"/>
      <c r="F16" s="55"/>
      <c r="G16" s="56"/>
      <c r="H16" s="133"/>
      <c r="I16" s="134"/>
      <c r="J16" s="134"/>
      <c r="K16" s="55"/>
      <c r="L16" s="55"/>
      <c r="M16" s="54"/>
    </row>
    <row r="17" spans="2:13" ht="49.5" customHeight="1" x14ac:dyDescent="0.3">
      <c r="B17" s="97"/>
      <c r="C17" s="54"/>
      <c r="D17" s="55"/>
      <c r="E17" s="55"/>
      <c r="F17" s="55"/>
      <c r="G17" s="56"/>
      <c r="H17" s="133"/>
      <c r="I17" s="134"/>
      <c r="J17" s="134"/>
      <c r="K17" s="55"/>
      <c r="L17" s="55"/>
      <c r="M17" s="54"/>
    </row>
    <row r="18" spans="2:13" ht="49.5" customHeight="1" x14ac:dyDescent="0.3">
      <c r="B18" s="97"/>
      <c r="C18" s="54"/>
      <c r="D18" s="55"/>
      <c r="E18" s="55"/>
      <c r="F18" s="55"/>
      <c r="G18" s="56"/>
      <c r="H18" s="133"/>
      <c r="I18" s="134"/>
      <c r="J18" s="134"/>
      <c r="K18" s="55"/>
      <c r="L18" s="55"/>
      <c r="M18" s="54"/>
    </row>
    <row r="19" spans="2:13" ht="49.5" customHeight="1" x14ac:dyDescent="0.3">
      <c r="B19" s="97"/>
      <c r="C19" s="54"/>
      <c r="D19" s="55"/>
      <c r="E19" s="55"/>
      <c r="F19" s="55"/>
      <c r="G19" s="56"/>
      <c r="H19" s="133"/>
      <c r="I19" s="134"/>
      <c r="J19" s="134"/>
      <c r="K19" s="55"/>
      <c r="L19" s="55"/>
      <c r="M19" s="54"/>
    </row>
    <row r="20" spans="2:13" ht="49.5" customHeight="1" x14ac:dyDescent="0.3">
      <c r="B20" s="97"/>
      <c r="C20" s="54"/>
      <c r="D20" s="55"/>
      <c r="E20" s="55"/>
      <c r="F20" s="55"/>
      <c r="G20" s="56"/>
      <c r="H20" s="133"/>
      <c r="I20" s="134"/>
      <c r="J20" s="134"/>
      <c r="K20" s="55"/>
      <c r="L20" s="55"/>
      <c r="M20" s="54"/>
    </row>
    <row r="21" spans="2:13" ht="49.5" customHeight="1" x14ac:dyDescent="0.3">
      <c r="B21" s="97"/>
      <c r="C21" s="54"/>
      <c r="D21" s="55"/>
      <c r="E21" s="55"/>
      <c r="F21" s="55"/>
      <c r="G21" s="56"/>
      <c r="H21" s="133"/>
      <c r="I21" s="134"/>
      <c r="J21" s="134"/>
      <c r="K21" s="55"/>
      <c r="L21" s="55"/>
      <c r="M21" s="54"/>
    </row>
    <row r="22" spans="2:13" ht="49.5" customHeight="1" x14ac:dyDescent="0.3">
      <c r="B22" s="97"/>
      <c r="C22" s="54"/>
      <c r="D22" s="55"/>
      <c r="E22" s="55"/>
      <c r="F22" s="55"/>
      <c r="G22" s="56"/>
      <c r="H22" s="133"/>
      <c r="I22" s="134"/>
      <c r="J22" s="134"/>
      <c r="K22" s="55"/>
      <c r="L22" s="55"/>
      <c r="M22" s="54"/>
    </row>
    <row r="23" spans="2:13" ht="49.5" customHeight="1" x14ac:dyDescent="0.3">
      <c r="B23" s="97"/>
      <c r="C23" s="54"/>
      <c r="D23" s="55"/>
      <c r="E23" s="55"/>
      <c r="F23" s="55"/>
      <c r="G23" s="56"/>
      <c r="H23" s="133"/>
      <c r="I23" s="134"/>
      <c r="J23" s="134"/>
      <c r="K23" s="55"/>
      <c r="L23" s="55"/>
      <c r="M23" s="54"/>
    </row>
    <row r="24" spans="2:13" ht="49.5" customHeight="1" x14ac:dyDescent="0.3">
      <c r="B24" s="97"/>
      <c r="C24" s="54"/>
      <c r="D24" s="55"/>
      <c r="E24" s="55"/>
      <c r="F24" s="55"/>
      <c r="G24" s="56"/>
      <c r="H24" s="133"/>
      <c r="I24" s="134"/>
      <c r="J24" s="134"/>
      <c r="K24" s="55"/>
      <c r="L24" s="55"/>
      <c r="M24" s="54"/>
    </row>
    <row r="25" spans="2:13" ht="49.5" customHeight="1" x14ac:dyDescent="0.3">
      <c r="B25" s="97"/>
      <c r="C25" s="54"/>
      <c r="D25" s="55"/>
      <c r="E25" s="55"/>
      <c r="F25" s="55"/>
      <c r="G25" s="56"/>
      <c r="H25" s="133"/>
      <c r="I25" s="134"/>
      <c r="J25" s="134"/>
      <c r="K25" s="55"/>
      <c r="L25" s="55"/>
      <c r="M25" s="54"/>
    </row>
    <row r="26" spans="2:13" ht="49.5" customHeight="1" x14ac:dyDescent="0.3">
      <c r="B26" s="97"/>
      <c r="C26" s="54"/>
      <c r="D26" s="55"/>
      <c r="E26" s="55"/>
      <c r="F26" s="55"/>
      <c r="G26" s="56"/>
      <c r="H26" s="133"/>
      <c r="I26" s="134"/>
      <c r="J26" s="134"/>
      <c r="K26" s="55"/>
      <c r="L26" s="55"/>
      <c r="M26" s="54"/>
    </row>
    <row r="27" spans="2:13" ht="49.5" customHeight="1" x14ac:dyDescent="0.3">
      <c r="B27" s="97"/>
      <c r="C27" s="54"/>
      <c r="D27" s="55"/>
      <c r="E27" s="55"/>
      <c r="F27" s="55"/>
      <c r="G27" s="56"/>
      <c r="H27" s="133"/>
      <c r="I27" s="134"/>
      <c r="J27" s="134"/>
      <c r="K27" s="55"/>
      <c r="L27" s="55"/>
      <c r="M27" s="54"/>
    </row>
    <row r="28" spans="2:13" ht="49.5" customHeight="1" x14ac:dyDescent="0.3">
      <c r="B28" s="97"/>
      <c r="C28" s="54"/>
      <c r="D28" s="55"/>
      <c r="E28" s="55"/>
      <c r="F28" s="55"/>
      <c r="G28" s="56"/>
      <c r="H28" s="133"/>
      <c r="I28" s="134"/>
      <c r="J28" s="134"/>
      <c r="K28" s="55"/>
      <c r="L28" s="55"/>
      <c r="M28" s="54"/>
    </row>
    <row r="29" spans="2:13" ht="49.5" customHeight="1" x14ac:dyDescent="0.3">
      <c r="B29" s="97"/>
      <c r="C29" s="54"/>
      <c r="D29" s="55"/>
      <c r="E29" s="55"/>
      <c r="F29" s="55"/>
      <c r="G29" s="56"/>
      <c r="H29" s="133"/>
      <c r="I29" s="134"/>
      <c r="J29" s="134"/>
      <c r="K29" s="55"/>
      <c r="L29" s="55"/>
      <c r="M29" s="54"/>
    </row>
    <row r="30" spans="2:13" ht="49.5" customHeight="1" x14ac:dyDescent="0.3">
      <c r="B30" s="97"/>
      <c r="C30" s="54"/>
      <c r="D30" s="55"/>
      <c r="E30" s="55"/>
      <c r="F30" s="55"/>
      <c r="G30" s="56"/>
      <c r="H30" s="133"/>
      <c r="I30" s="134"/>
      <c r="J30" s="134"/>
      <c r="K30" s="55"/>
      <c r="L30" s="55"/>
      <c r="M30" s="54"/>
    </row>
    <row r="31" spans="2:13" ht="49.5" customHeight="1" x14ac:dyDescent="0.3">
      <c r="B31" s="97"/>
      <c r="C31" s="54"/>
      <c r="D31" s="55"/>
      <c r="E31" s="55"/>
      <c r="F31" s="55"/>
      <c r="G31" s="56"/>
      <c r="H31" s="133"/>
      <c r="I31" s="134"/>
      <c r="J31" s="134"/>
      <c r="K31" s="55"/>
      <c r="L31" s="55"/>
      <c r="M31" s="54"/>
    </row>
    <row r="32" spans="2:13" ht="49.5" customHeight="1" x14ac:dyDescent="0.3">
      <c r="B32" s="97"/>
      <c r="C32" s="54"/>
      <c r="D32" s="55"/>
      <c r="E32" s="55"/>
      <c r="F32" s="55"/>
      <c r="G32" s="56"/>
      <c r="H32" s="133"/>
      <c r="I32" s="134"/>
      <c r="J32" s="134"/>
      <c r="K32" s="55"/>
      <c r="L32" s="55"/>
      <c r="M32" s="54"/>
    </row>
    <row r="33" spans="2:13" ht="49.5" customHeight="1" x14ac:dyDescent="0.3">
      <c r="B33" s="97"/>
      <c r="C33" s="54"/>
      <c r="D33" s="55"/>
      <c r="E33" s="55"/>
      <c r="F33" s="55"/>
      <c r="G33" s="56"/>
      <c r="H33" s="133"/>
      <c r="I33" s="134"/>
      <c r="J33" s="134"/>
      <c r="K33" s="55"/>
      <c r="L33" s="55"/>
      <c r="M33" s="54"/>
    </row>
    <row r="34" spans="2:13" ht="49.5" customHeight="1" x14ac:dyDescent="0.3">
      <c r="B34" s="97"/>
      <c r="C34" s="54"/>
      <c r="D34" s="55"/>
      <c r="E34" s="55"/>
      <c r="F34" s="55"/>
      <c r="G34" s="56"/>
      <c r="H34" s="133"/>
      <c r="I34" s="134"/>
      <c r="J34" s="134"/>
      <c r="K34" s="55"/>
      <c r="L34" s="55"/>
      <c r="M34" s="54"/>
    </row>
    <row r="35" spans="2:13" ht="49.5" customHeight="1" x14ac:dyDescent="0.3">
      <c r="B35" s="97"/>
      <c r="C35" s="54"/>
      <c r="D35" s="55"/>
      <c r="E35" s="55"/>
      <c r="F35" s="55"/>
      <c r="G35" s="56"/>
      <c r="H35" s="133"/>
      <c r="I35" s="134"/>
      <c r="J35" s="134"/>
      <c r="K35" s="55"/>
      <c r="L35" s="55"/>
      <c r="M35" s="54"/>
    </row>
    <row r="36" spans="2:13" ht="49.5" customHeight="1" x14ac:dyDescent="0.3">
      <c r="B36" s="97"/>
      <c r="C36" s="54"/>
      <c r="D36" s="55"/>
      <c r="E36" s="55"/>
      <c r="F36" s="55"/>
      <c r="G36" s="56"/>
      <c r="H36" s="133"/>
      <c r="I36" s="134"/>
      <c r="J36" s="134"/>
      <c r="K36" s="55"/>
      <c r="L36" s="55"/>
      <c r="M36" s="54"/>
    </row>
    <row r="37" spans="2:13" ht="49.5" customHeight="1" x14ac:dyDescent="0.3">
      <c r="B37" s="97"/>
      <c r="C37" s="54"/>
      <c r="D37" s="55"/>
      <c r="E37" s="55"/>
      <c r="F37" s="55"/>
      <c r="G37" s="56"/>
      <c r="H37" s="133"/>
      <c r="I37" s="134"/>
      <c r="J37" s="134"/>
      <c r="K37" s="55"/>
      <c r="L37" s="55"/>
      <c r="M37" s="54"/>
    </row>
    <row r="38" spans="2:13" ht="49.5" customHeight="1" x14ac:dyDescent="0.3">
      <c r="B38" s="97"/>
      <c r="C38" s="54"/>
      <c r="D38" s="55"/>
      <c r="E38" s="55"/>
      <c r="F38" s="55"/>
      <c r="G38" s="56"/>
      <c r="H38" s="133"/>
      <c r="I38" s="134"/>
      <c r="J38" s="134"/>
      <c r="K38" s="55"/>
      <c r="L38" s="55"/>
      <c r="M38" s="54"/>
    </row>
    <row r="39" spans="2:13" ht="49.5" customHeight="1" x14ac:dyDescent="0.3">
      <c r="B39" s="97"/>
      <c r="C39" s="54"/>
      <c r="D39" s="55"/>
      <c r="E39" s="55"/>
      <c r="F39" s="55"/>
      <c r="G39" s="56"/>
      <c r="H39" s="133"/>
      <c r="I39" s="134"/>
      <c r="J39" s="134"/>
      <c r="K39" s="55"/>
      <c r="L39" s="55"/>
      <c r="M39" s="54"/>
    </row>
    <row r="40" spans="2:13" ht="49.5" customHeight="1" x14ac:dyDescent="0.3">
      <c r="B40" s="97"/>
      <c r="C40" s="54"/>
      <c r="D40" s="55"/>
      <c r="E40" s="55"/>
      <c r="F40" s="55"/>
      <c r="G40" s="56"/>
      <c r="H40" s="133"/>
      <c r="I40" s="134"/>
      <c r="J40" s="134"/>
      <c r="K40" s="55"/>
      <c r="L40" s="55"/>
      <c r="M40" s="54"/>
    </row>
    <row r="41" spans="2:13" ht="49.5" customHeight="1" x14ac:dyDescent="0.3">
      <c r="B41" s="97"/>
      <c r="C41" s="54"/>
      <c r="D41" s="55"/>
      <c r="E41" s="55"/>
      <c r="F41" s="55"/>
      <c r="G41" s="56"/>
      <c r="H41" s="133"/>
      <c r="I41" s="134"/>
      <c r="J41" s="134"/>
      <c r="K41" s="55"/>
      <c r="L41" s="55"/>
      <c r="M41" s="54"/>
    </row>
    <row r="42" spans="2:13" ht="49.5" customHeight="1" x14ac:dyDescent="0.3">
      <c r="B42" s="97"/>
      <c r="C42" s="54"/>
      <c r="D42" s="55"/>
      <c r="E42" s="55"/>
      <c r="F42" s="55"/>
      <c r="G42" s="56"/>
      <c r="H42" s="133"/>
      <c r="I42" s="134"/>
      <c r="J42" s="134"/>
      <c r="K42" s="55"/>
      <c r="L42" s="55"/>
      <c r="M42" s="54"/>
    </row>
    <row r="43" spans="2:13" ht="49.5" customHeight="1" x14ac:dyDescent="0.3">
      <c r="B43" s="97"/>
      <c r="C43" s="54"/>
      <c r="D43" s="55"/>
      <c r="E43" s="55"/>
      <c r="F43" s="55"/>
      <c r="G43" s="56"/>
      <c r="H43" s="133"/>
      <c r="I43" s="134"/>
      <c r="J43" s="134"/>
      <c r="K43" s="55"/>
      <c r="L43" s="55"/>
      <c r="M43" s="54"/>
    </row>
    <row r="44" spans="2:13" ht="49.5" customHeight="1" x14ac:dyDescent="0.3">
      <c r="B44" s="97"/>
      <c r="C44" s="54"/>
      <c r="D44" s="55"/>
      <c r="E44" s="55"/>
      <c r="F44" s="55"/>
      <c r="G44" s="56"/>
      <c r="H44" s="133"/>
      <c r="I44" s="134"/>
      <c r="J44" s="134"/>
      <c r="K44" s="55"/>
      <c r="L44" s="55"/>
      <c r="M44" s="54"/>
    </row>
    <row r="45" spans="2:13" ht="49.5" customHeight="1" x14ac:dyDescent="0.3">
      <c r="B45" s="97"/>
      <c r="C45" s="54"/>
      <c r="D45" s="55"/>
      <c r="E45" s="55"/>
      <c r="F45" s="55"/>
      <c r="G45" s="56"/>
      <c r="H45" s="133"/>
      <c r="I45" s="134"/>
      <c r="J45" s="134"/>
      <c r="K45" s="55"/>
      <c r="L45" s="55"/>
      <c r="M45" s="54"/>
    </row>
    <row r="46" spans="2:13" ht="49.5" customHeight="1" x14ac:dyDescent="0.3">
      <c r="B46" s="97"/>
      <c r="C46" s="54"/>
      <c r="D46" s="55"/>
      <c r="E46" s="55"/>
      <c r="F46" s="55"/>
      <c r="G46" s="56"/>
      <c r="H46" s="133"/>
      <c r="I46" s="134"/>
      <c r="J46" s="134"/>
      <c r="K46" s="55"/>
      <c r="L46" s="55"/>
      <c r="M46" s="54"/>
    </row>
    <row r="47" spans="2:13" ht="49.5" customHeight="1" x14ac:dyDescent="0.3">
      <c r="B47" s="97"/>
      <c r="C47" s="54"/>
      <c r="D47" s="55"/>
      <c r="E47" s="55"/>
      <c r="F47" s="55"/>
      <c r="G47" s="56"/>
      <c r="H47" s="133"/>
      <c r="I47" s="134"/>
      <c r="J47" s="134"/>
      <c r="K47" s="55"/>
      <c r="L47" s="55"/>
      <c r="M47" s="54"/>
    </row>
    <row r="48" spans="2:13" ht="49.5" customHeight="1" x14ac:dyDescent="0.3">
      <c r="B48" s="97"/>
      <c r="C48" s="54"/>
      <c r="D48" s="55"/>
      <c r="E48" s="55"/>
      <c r="F48" s="55"/>
      <c r="G48" s="56"/>
      <c r="H48" s="133"/>
      <c r="I48" s="134"/>
      <c r="J48" s="134"/>
      <c r="K48" s="55"/>
      <c r="L48" s="55"/>
      <c r="M48" s="54"/>
    </row>
    <row r="49" spans="2:13" ht="49.5" customHeight="1" x14ac:dyDescent="0.3">
      <c r="B49" s="97"/>
      <c r="C49" s="54"/>
      <c r="D49" s="55"/>
      <c r="E49" s="55"/>
      <c r="F49" s="55"/>
      <c r="G49" s="56"/>
      <c r="H49" s="133"/>
      <c r="I49" s="134"/>
      <c r="J49" s="134"/>
      <c r="K49" s="55"/>
      <c r="L49" s="55"/>
      <c r="M49" s="54"/>
    </row>
    <row r="50" spans="2:13" ht="49.5" customHeight="1" x14ac:dyDescent="0.3">
      <c r="B50" s="97"/>
      <c r="C50" s="54"/>
      <c r="D50" s="55"/>
      <c r="E50" s="55"/>
      <c r="F50" s="55"/>
      <c r="G50" s="56"/>
      <c r="H50" s="133"/>
      <c r="I50" s="134"/>
      <c r="J50" s="134"/>
      <c r="K50" s="55"/>
      <c r="L50" s="55"/>
      <c r="M50" s="54"/>
    </row>
    <row r="51" spans="2:13" ht="49.5" customHeight="1" x14ac:dyDescent="0.3">
      <c r="B51" s="97"/>
      <c r="C51" s="54"/>
      <c r="D51" s="55"/>
      <c r="E51" s="55"/>
      <c r="F51" s="55"/>
      <c r="G51" s="56"/>
      <c r="H51" s="133"/>
      <c r="I51" s="134"/>
      <c r="J51" s="134"/>
      <c r="K51" s="55"/>
      <c r="L51" s="55"/>
      <c r="M51" s="54"/>
    </row>
    <row r="52" spans="2:13" ht="49.5" customHeight="1" x14ac:dyDescent="0.3">
      <c r="B52" s="97"/>
      <c r="C52" s="54"/>
      <c r="D52" s="55"/>
      <c r="E52" s="55"/>
      <c r="F52" s="55"/>
      <c r="G52" s="56"/>
      <c r="H52" s="133"/>
      <c r="I52" s="134"/>
      <c r="J52" s="134"/>
      <c r="K52" s="55"/>
      <c r="L52" s="55"/>
      <c r="M52" s="54"/>
    </row>
    <row r="53" spans="2:13" ht="49.5" customHeight="1" x14ac:dyDescent="0.3">
      <c r="B53" s="97"/>
      <c r="C53" s="54"/>
      <c r="D53" s="55"/>
      <c r="E53" s="55"/>
      <c r="F53" s="55"/>
      <c r="G53" s="56"/>
      <c r="H53" s="133"/>
      <c r="I53" s="134"/>
      <c r="J53" s="134"/>
      <c r="K53" s="55"/>
      <c r="L53" s="55"/>
      <c r="M53" s="54"/>
    </row>
    <row r="54" spans="2:13" ht="49.5" customHeight="1" x14ac:dyDescent="0.3">
      <c r="B54" s="97"/>
      <c r="C54" s="54"/>
      <c r="D54" s="55"/>
      <c r="E54" s="55"/>
      <c r="F54" s="55"/>
      <c r="G54" s="56"/>
      <c r="H54" s="133"/>
      <c r="I54" s="134"/>
      <c r="J54" s="134"/>
      <c r="K54" s="55"/>
      <c r="L54" s="55"/>
      <c r="M54" s="54"/>
    </row>
    <row r="55" spans="2:13" ht="49.5" customHeight="1" x14ac:dyDescent="0.3">
      <c r="B55" s="97"/>
      <c r="C55" s="54"/>
      <c r="D55" s="55"/>
      <c r="E55" s="55"/>
      <c r="F55" s="55"/>
      <c r="G55" s="56"/>
      <c r="H55" s="133"/>
      <c r="I55" s="134"/>
      <c r="J55" s="134"/>
      <c r="K55" s="55"/>
      <c r="L55" s="55"/>
      <c r="M55" s="54"/>
    </row>
    <row r="56" spans="2:13" ht="49.5" customHeight="1" x14ac:dyDescent="0.3">
      <c r="B56" s="97"/>
      <c r="C56" s="54"/>
      <c r="D56" s="55"/>
      <c r="E56" s="55"/>
      <c r="F56" s="55"/>
      <c r="G56" s="56"/>
      <c r="H56" s="133"/>
      <c r="I56" s="134"/>
      <c r="J56" s="134"/>
      <c r="K56" s="55"/>
      <c r="L56" s="55"/>
      <c r="M56" s="54"/>
    </row>
    <row r="57" spans="2:13" ht="49.5" customHeight="1" x14ac:dyDescent="0.3">
      <c r="B57" s="97"/>
      <c r="C57" s="54"/>
      <c r="D57" s="55"/>
      <c r="E57" s="55"/>
      <c r="F57" s="55"/>
      <c r="G57" s="56"/>
      <c r="H57" s="133"/>
      <c r="I57" s="134"/>
      <c r="J57" s="134"/>
      <c r="K57" s="55"/>
      <c r="L57" s="55"/>
      <c r="M57" s="54"/>
    </row>
    <row r="58" spans="2:13" ht="49.5" customHeight="1" x14ac:dyDescent="0.3">
      <c r="B58" s="97"/>
      <c r="C58" s="54"/>
      <c r="D58" s="55"/>
      <c r="E58" s="55"/>
      <c r="F58" s="55"/>
      <c r="G58" s="56"/>
      <c r="H58" s="133"/>
      <c r="I58" s="134"/>
      <c r="J58" s="134"/>
      <c r="K58" s="55"/>
      <c r="L58" s="55"/>
      <c r="M58" s="54"/>
    </row>
    <row r="59" spans="2:13" ht="49.5" customHeight="1" x14ac:dyDescent="0.3">
      <c r="B59" s="97"/>
      <c r="C59" s="54"/>
      <c r="D59" s="55"/>
      <c r="E59" s="55"/>
      <c r="F59" s="55"/>
      <c r="G59" s="56"/>
      <c r="H59" s="133"/>
      <c r="I59" s="134"/>
      <c r="J59" s="134"/>
      <c r="K59" s="55"/>
      <c r="L59" s="55"/>
      <c r="M59" s="54"/>
    </row>
    <row r="60" spans="2:13" ht="49.5" customHeight="1" x14ac:dyDescent="0.3">
      <c r="B60" s="97"/>
      <c r="C60" s="54"/>
      <c r="D60" s="55"/>
      <c r="E60" s="55"/>
      <c r="F60" s="55"/>
      <c r="G60" s="56"/>
      <c r="H60" s="133"/>
      <c r="I60" s="134"/>
      <c r="J60" s="134"/>
      <c r="K60" s="55"/>
      <c r="L60" s="55"/>
      <c r="M60" s="54"/>
    </row>
    <row r="61" spans="2:13" ht="49.5" customHeight="1" x14ac:dyDescent="0.3">
      <c r="B61" s="97"/>
      <c r="C61" s="54"/>
      <c r="D61" s="55"/>
      <c r="E61" s="55"/>
      <c r="F61" s="55"/>
      <c r="G61" s="56"/>
      <c r="H61" s="133"/>
      <c r="I61" s="134"/>
      <c r="J61" s="134"/>
      <c r="K61" s="55"/>
      <c r="L61" s="55"/>
      <c r="M61" s="54"/>
    </row>
    <row r="62" spans="2:13" ht="49.5" customHeight="1" x14ac:dyDescent="0.3">
      <c r="B62" s="97"/>
      <c r="C62" s="54"/>
      <c r="D62" s="55"/>
      <c r="E62" s="55"/>
      <c r="F62" s="55"/>
      <c r="G62" s="56"/>
      <c r="H62" s="133"/>
      <c r="I62" s="134"/>
      <c r="J62" s="134"/>
      <c r="K62" s="55"/>
      <c r="L62" s="55"/>
      <c r="M62" s="54"/>
    </row>
    <row r="63" spans="2:13" ht="49.5" customHeight="1" x14ac:dyDescent="0.3">
      <c r="B63" s="97"/>
      <c r="C63" s="54"/>
      <c r="D63" s="55"/>
      <c r="E63" s="55"/>
      <c r="F63" s="55"/>
      <c r="G63" s="56"/>
      <c r="H63" s="133"/>
      <c r="I63" s="134"/>
      <c r="J63" s="134"/>
      <c r="K63" s="55"/>
      <c r="L63" s="55"/>
      <c r="M63" s="54"/>
    </row>
    <row r="64" spans="2:13" ht="49.5" customHeight="1" x14ac:dyDescent="0.3">
      <c r="B64" s="97"/>
      <c r="C64" s="54"/>
      <c r="D64" s="55"/>
      <c r="E64" s="55"/>
      <c r="F64" s="55"/>
      <c r="G64" s="56"/>
      <c r="H64" s="133"/>
      <c r="I64" s="134"/>
      <c r="J64" s="134"/>
      <c r="K64" s="55"/>
      <c r="L64" s="55"/>
      <c r="M64" s="54"/>
    </row>
    <row r="65" spans="2:13" ht="49.5" customHeight="1" x14ac:dyDescent="0.3">
      <c r="B65" s="97"/>
      <c r="C65" s="54"/>
      <c r="D65" s="55"/>
      <c r="E65" s="55"/>
      <c r="F65" s="55"/>
      <c r="G65" s="56"/>
      <c r="H65" s="133"/>
      <c r="I65" s="134"/>
      <c r="J65" s="134"/>
      <c r="K65" s="55"/>
      <c r="L65" s="55"/>
      <c r="M65" s="54"/>
    </row>
    <row r="66" spans="2:13" ht="49.5" customHeight="1" x14ac:dyDescent="0.3">
      <c r="B66" s="97"/>
      <c r="C66" s="54"/>
      <c r="D66" s="55"/>
      <c r="E66" s="55"/>
      <c r="F66" s="55"/>
      <c r="G66" s="56"/>
      <c r="H66" s="133"/>
      <c r="I66" s="134"/>
      <c r="J66" s="134"/>
      <c r="K66" s="55"/>
      <c r="L66" s="55"/>
      <c r="M66" s="54"/>
    </row>
    <row r="67" spans="2:13" ht="49.5" customHeight="1" x14ac:dyDescent="0.3">
      <c r="B67" s="97"/>
      <c r="C67" s="54"/>
      <c r="D67" s="55"/>
      <c r="E67" s="55"/>
      <c r="F67" s="55"/>
      <c r="G67" s="56"/>
      <c r="H67" s="133"/>
      <c r="I67" s="134"/>
      <c r="J67" s="134"/>
      <c r="K67" s="55"/>
      <c r="L67" s="55"/>
      <c r="M67" s="54"/>
    </row>
    <row r="68" spans="2:13" ht="49.5" customHeight="1" x14ac:dyDescent="0.3">
      <c r="B68" s="97"/>
      <c r="C68" s="54"/>
      <c r="D68" s="55"/>
      <c r="E68" s="55"/>
      <c r="F68" s="55"/>
      <c r="G68" s="56"/>
      <c r="H68" s="133"/>
      <c r="I68" s="134"/>
      <c r="J68" s="134"/>
      <c r="K68" s="55"/>
      <c r="L68" s="55"/>
      <c r="M68" s="54"/>
    </row>
    <row r="69" spans="2:13" ht="49.5" customHeight="1" x14ac:dyDescent="0.3">
      <c r="B69" s="97"/>
      <c r="C69" s="54"/>
      <c r="D69" s="55"/>
      <c r="E69" s="55"/>
      <c r="F69" s="55"/>
      <c r="G69" s="56"/>
      <c r="H69" s="133"/>
      <c r="I69" s="134"/>
      <c r="J69" s="134"/>
      <c r="K69" s="55"/>
      <c r="L69" s="55"/>
      <c r="M69" s="54"/>
    </row>
    <row r="70" spans="2:13" ht="49.5" customHeight="1" x14ac:dyDescent="0.3">
      <c r="B70" s="97"/>
      <c r="C70" s="54"/>
      <c r="D70" s="55"/>
      <c r="E70" s="55"/>
      <c r="F70" s="55"/>
      <c r="G70" s="56"/>
      <c r="H70" s="133"/>
      <c r="I70" s="134"/>
      <c r="J70" s="134"/>
      <c r="K70" s="55"/>
      <c r="L70" s="55"/>
      <c r="M70" s="54"/>
    </row>
    <row r="71" spans="2:13" ht="49.5" customHeight="1" x14ac:dyDescent="0.3">
      <c r="B71" s="97"/>
      <c r="C71" s="54"/>
      <c r="D71" s="55"/>
      <c r="E71" s="55"/>
      <c r="F71" s="55"/>
      <c r="G71" s="56"/>
      <c r="H71" s="133"/>
      <c r="I71" s="134"/>
      <c r="J71" s="134"/>
      <c r="K71" s="55"/>
      <c r="L71" s="55"/>
      <c r="M71" s="54"/>
    </row>
    <row r="72" spans="2:13" ht="49.5" customHeight="1" x14ac:dyDescent="0.3">
      <c r="B72" s="97"/>
      <c r="C72" s="54"/>
      <c r="D72" s="55"/>
      <c r="E72" s="55"/>
      <c r="F72" s="55"/>
      <c r="G72" s="56"/>
      <c r="H72" s="133"/>
      <c r="I72" s="134"/>
      <c r="J72" s="134"/>
      <c r="K72" s="55"/>
      <c r="L72" s="55"/>
      <c r="M72" s="54"/>
    </row>
    <row r="73" spans="2:13" ht="49.5" customHeight="1" x14ac:dyDescent="0.3">
      <c r="B73" s="97"/>
      <c r="C73" s="54"/>
      <c r="D73" s="55"/>
      <c r="E73" s="55"/>
      <c r="F73" s="55"/>
      <c r="G73" s="56"/>
      <c r="H73" s="133"/>
      <c r="I73" s="134"/>
      <c r="J73" s="134"/>
      <c r="K73" s="55"/>
      <c r="L73" s="55"/>
      <c r="M73" s="54"/>
    </row>
    <row r="74" spans="2:13" ht="49.5" customHeight="1" x14ac:dyDescent="0.3">
      <c r="B74" s="97"/>
      <c r="C74" s="54"/>
      <c r="D74" s="55"/>
      <c r="E74" s="55"/>
      <c r="F74" s="55"/>
      <c r="G74" s="56"/>
      <c r="H74" s="133"/>
      <c r="I74" s="134"/>
      <c r="J74" s="134"/>
      <c r="K74" s="55"/>
      <c r="L74" s="55"/>
      <c r="M74" s="54"/>
    </row>
    <row r="75" spans="2:13" ht="49.5" customHeight="1" x14ac:dyDescent="0.3">
      <c r="B75" s="97"/>
      <c r="C75" s="54"/>
      <c r="D75" s="55"/>
      <c r="E75" s="55"/>
      <c r="F75" s="55"/>
      <c r="G75" s="56"/>
      <c r="H75" s="133"/>
      <c r="I75" s="134"/>
      <c r="J75" s="134"/>
      <c r="K75" s="55"/>
      <c r="L75" s="55"/>
      <c r="M75" s="54"/>
    </row>
    <row r="76" spans="2:13" ht="49.5" customHeight="1" x14ac:dyDescent="0.3">
      <c r="B76" s="97"/>
      <c r="C76" s="54"/>
      <c r="D76" s="55"/>
      <c r="E76" s="55"/>
      <c r="F76" s="55"/>
      <c r="G76" s="56"/>
      <c r="H76" s="133"/>
      <c r="I76" s="134"/>
      <c r="J76" s="134"/>
      <c r="K76" s="55"/>
      <c r="L76" s="55"/>
      <c r="M76" s="54"/>
    </row>
    <row r="77" spans="2:13" ht="49.5" customHeight="1" x14ac:dyDescent="0.3">
      <c r="B77" s="97"/>
      <c r="C77" s="54"/>
      <c r="D77" s="55"/>
      <c r="E77" s="55"/>
      <c r="F77" s="55"/>
      <c r="G77" s="56"/>
      <c r="H77" s="133"/>
      <c r="I77" s="134"/>
      <c r="J77" s="134"/>
      <c r="K77" s="55"/>
      <c r="L77" s="55"/>
      <c r="M77" s="54"/>
    </row>
    <row r="78" spans="2:13" ht="49.5" customHeight="1" x14ac:dyDescent="0.3">
      <c r="B78" s="97"/>
      <c r="C78" s="54"/>
      <c r="D78" s="55"/>
      <c r="E78" s="55"/>
      <c r="F78" s="55"/>
      <c r="G78" s="56"/>
      <c r="H78" s="133"/>
      <c r="I78" s="134"/>
      <c r="J78" s="134"/>
      <c r="K78" s="55"/>
      <c r="L78" s="55"/>
      <c r="M78" s="54"/>
    </row>
    <row r="79" spans="2:13" ht="49.5" customHeight="1" x14ac:dyDescent="0.3">
      <c r="B79" s="97"/>
      <c r="C79" s="54"/>
      <c r="D79" s="55"/>
      <c r="E79" s="55"/>
      <c r="F79" s="55"/>
      <c r="G79" s="56"/>
      <c r="H79" s="133"/>
      <c r="I79" s="134"/>
      <c r="J79" s="134"/>
      <c r="K79" s="55"/>
      <c r="L79" s="55"/>
      <c r="M79" s="54"/>
    </row>
    <row r="80" spans="2:13" ht="49.5" customHeight="1" x14ac:dyDescent="0.3">
      <c r="B80" s="97"/>
      <c r="C80" s="54"/>
      <c r="D80" s="55"/>
      <c r="E80" s="55"/>
      <c r="F80" s="55"/>
      <c r="G80" s="56"/>
      <c r="H80" s="133"/>
      <c r="I80" s="134"/>
      <c r="J80" s="134"/>
      <c r="K80" s="55"/>
      <c r="L80" s="55"/>
      <c r="M80" s="54"/>
    </row>
    <row r="81" spans="2:13" ht="49.5" customHeight="1" x14ac:dyDescent="0.3">
      <c r="B81" s="97"/>
      <c r="C81" s="54"/>
      <c r="D81" s="55"/>
      <c r="E81" s="55"/>
      <c r="F81" s="55"/>
      <c r="G81" s="56"/>
      <c r="H81" s="133"/>
      <c r="I81" s="134"/>
      <c r="J81" s="134"/>
      <c r="K81" s="55"/>
      <c r="L81" s="55"/>
      <c r="M81" s="54"/>
    </row>
    <row r="82" spans="2:13" ht="49.5" customHeight="1" x14ac:dyDescent="0.3">
      <c r="B82" s="97"/>
      <c r="C82" s="54"/>
      <c r="D82" s="55"/>
      <c r="E82" s="55"/>
      <c r="F82" s="55"/>
      <c r="G82" s="56"/>
      <c r="H82" s="133"/>
      <c r="I82" s="134"/>
      <c r="J82" s="134"/>
      <c r="K82" s="55"/>
      <c r="L82" s="55"/>
      <c r="M82" s="54"/>
    </row>
    <row r="83" spans="2:13" ht="49.5" customHeight="1" x14ac:dyDescent="0.3">
      <c r="B83" s="97"/>
      <c r="C83" s="54"/>
      <c r="D83" s="55"/>
      <c r="E83" s="55"/>
      <c r="F83" s="55"/>
      <c r="G83" s="56"/>
      <c r="H83" s="133"/>
      <c r="I83" s="134"/>
      <c r="J83" s="134"/>
      <c r="K83" s="55"/>
      <c r="L83" s="55"/>
      <c r="M83" s="54"/>
    </row>
    <row r="84" spans="2:13" ht="49.5" customHeight="1" x14ac:dyDescent="0.3">
      <c r="B84" s="97"/>
      <c r="C84" s="54"/>
      <c r="D84" s="55"/>
      <c r="E84" s="55"/>
      <c r="F84" s="55"/>
      <c r="G84" s="56"/>
      <c r="H84" s="133"/>
      <c r="I84" s="134"/>
      <c r="J84" s="134"/>
      <c r="K84" s="55"/>
      <c r="L84" s="55"/>
      <c r="M84" s="54"/>
    </row>
    <row r="85" spans="2:13" ht="49.5" customHeight="1" x14ac:dyDescent="0.3">
      <c r="B85" s="97"/>
      <c r="C85" s="54"/>
      <c r="D85" s="55"/>
      <c r="E85" s="55"/>
      <c r="F85" s="55"/>
      <c r="G85" s="56"/>
      <c r="H85" s="133"/>
      <c r="I85" s="134"/>
      <c r="J85" s="134"/>
      <c r="K85" s="55"/>
      <c r="L85" s="55"/>
      <c r="M85" s="54"/>
    </row>
    <row r="86" spans="2:13" ht="49.5" customHeight="1" x14ac:dyDescent="0.3">
      <c r="B86" s="97"/>
      <c r="C86" s="54"/>
      <c r="D86" s="55"/>
      <c r="E86" s="55"/>
      <c r="F86" s="55"/>
      <c r="G86" s="56"/>
      <c r="H86" s="133"/>
      <c r="I86" s="134"/>
      <c r="J86" s="134"/>
      <c r="K86" s="55"/>
      <c r="L86" s="55"/>
      <c r="M86" s="54"/>
    </row>
    <row r="87" spans="2:13" ht="49.5" customHeight="1" x14ac:dyDescent="0.3">
      <c r="B87" s="97"/>
      <c r="C87" s="54"/>
      <c r="D87" s="55"/>
      <c r="E87" s="55"/>
      <c r="F87" s="55"/>
      <c r="G87" s="56"/>
      <c r="H87" s="133"/>
      <c r="I87" s="134"/>
      <c r="J87" s="134"/>
      <c r="K87" s="55"/>
      <c r="L87" s="55"/>
      <c r="M87" s="54"/>
    </row>
    <row r="88" spans="2:13" ht="49.5" customHeight="1" x14ac:dyDescent="0.3">
      <c r="B88" s="97"/>
      <c r="C88" s="54"/>
      <c r="D88" s="55"/>
      <c r="E88" s="55"/>
      <c r="F88" s="55"/>
      <c r="G88" s="56"/>
      <c r="H88" s="133"/>
      <c r="I88" s="134"/>
      <c r="J88" s="134"/>
      <c r="K88" s="55"/>
      <c r="L88" s="55"/>
      <c r="M88" s="54"/>
    </row>
    <row r="89" spans="2:13" ht="49.5" customHeight="1" x14ac:dyDescent="0.3">
      <c r="B89" s="97"/>
      <c r="C89" s="54"/>
      <c r="D89" s="55"/>
      <c r="E89" s="55"/>
      <c r="F89" s="55"/>
      <c r="G89" s="56"/>
      <c r="H89" s="133"/>
      <c r="I89" s="134"/>
      <c r="J89" s="134"/>
      <c r="K89" s="55"/>
      <c r="L89" s="55"/>
      <c r="M89" s="54"/>
    </row>
    <row r="90" spans="2:13" ht="49.5" customHeight="1" x14ac:dyDescent="0.3">
      <c r="B90" s="97"/>
      <c r="C90" s="54"/>
      <c r="D90" s="55"/>
      <c r="E90" s="55"/>
      <c r="F90" s="55"/>
      <c r="G90" s="56"/>
      <c r="H90" s="133"/>
      <c r="I90" s="134"/>
      <c r="J90" s="134"/>
      <c r="K90" s="55"/>
      <c r="L90" s="55"/>
      <c r="M90" s="54"/>
    </row>
    <row r="91" spans="2:13" ht="49.5" customHeight="1" x14ac:dyDescent="0.3">
      <c r="B91" s="97"/>
      <c r="C91" s="54"/>
      <c r="D91" s="55"/>
      <c r="E91" s="55"/>
      <c r="F91" s="55"/>
      <c r="G91" s="56"/>
      <c r="H91" s="133"/>
      <c r="I91" s="134"/>
      <c r="J91" s="134"/>
      <c r="K91" s="55"/>
      <c r="L91" s="55"/>
      <c r="M91" s="54"/>
    </row>
    <row r="92" spans="2:13" ht="49.5" customHeight="1" x14ac:dyDescent="0.3">
      <c r="B92" s="97"/>
      <c r="C92" s="54"/>
      <c r="D92" s="55"/>
      <c r="E92" s="55"/>
      <c r="F92" s="55"/>
      <c r="G92" s="56"/>
      <c r="H92" s="133"/>
      <c r="I92" s="134"/>
      <c r="J92" s="134"/>
      <c r="K92" s="55"/>
      <c r="L92" s="55"/>
      <c r="M92" s="54"/>
    </row>
    <row r="93" spans="2:13" ht="49.5" customHeight="1" x14ac:dyDescent="0.3">
      <c r="B93" s="97"/>
      <c r="C93" s="54"/>
      <c r="D93" s="55"/>
      <c r="E93" s="55"/>
      <c r="F93" s="55"/>
      <c r="G93" s="56"/>
      <c r="H93" s="133"/>
      <c r="I93" s="134"/>
      <c r="J93" s="134"/>
      <c r="K93" s="55"/>
      <c r="L93" s="55"/>
      <c r="M93" s="54"/>
    </row>
    <row r="94" spans="2:13" ht="49.5" customHeight="1" x14ac:dyDescent="0.3">
      <c r="B94" s="97"/>
      <c r="C94" s="54"/>
      <c r="D94" s="55"/>
      <c r="E94" s="55"/>
      <c r="F94" s="55"/>
      <c r="G94" s="56"/>
      <c r="H94" s="133"/>
      <c r="I94" s="134"/>
      <c r="J94" s="134"/>
      <c r="K94" s="55"/>
      <c r="L94" s="55"/>
      <c r="M94" s="54"/>
    </row>
    <row r="95" spans="2:13" ht="49.5" customHeight="1" x14ac:dyDescent="0.3">
      <c r="B95" s="97"/>
      <c r="C95" s="54"/>
      <c r="D95" s="55"/>
      <c r="E95" s="55"/>
      <c r="F95" s="55"/>
      <c r="G95" s="56"/>
      <c r="H95" s="133"/>
      <c r="I95" s="134"/>
      <c r="J95" s="134"/>
      <c r="K95" s="55"/>
      <c r="L95" s="55"/>
      <c r="M95" s="54"/>
    </row>
    <row r="96" spans="2:13" ht="49.5" customHeight="1" x14ac:dyDescent="0.3">
      <c r="B96" s="97"/>
      <c r="C96" s="54"/>
      <c r="D96" s="55"/>
      <c r="E96" s="55"/>
      <c r="F96" s="55"/>
      <c r="G96" s="56"/>
      <c r="H96" s="133"/>
      <c r="I96" s="134"/>
      <c r="J96" s="134"/>
      <c r="K96" s="55"/>
      <c r="L96" s="55"/>
      <c r="M96" s="54"/>
    </row>
    <row r="97" spans="2:13" ht="49.5" customHeight="1" x14ac:dyDescent="0.3">
      <c r="B97" s="97"/>
      <c r="C97" s="54"/>
      <c r="D97" s="55"/>
      <c r="E97" s="55"/>
      <c r="F97" s="55"/>
      <c r="G97" s="56"/>
      <c r="H97" s="133"/>
      <c r="I97" s="134"/>
      <c r="J97" s="134"/>
      <c r="K97" s="55"/>
      <c r="L97" s="55"/>
      <c r="M97" s="54"/>
    </row>
    <row r="98" spans="2:13" ht="49.5" customHeight="1" x14ac:dyDescent="0.3">
      <c r="B98" s="97"/>
      <c r="C98" s="54"/>
      <c r="D98" s="55"/>
      <c r="E98" s="55"/>
      <c r="F98" s="55"/>
      <c r="G98" s="56"/>
      <c r="H98" s="133"/>
      <c r="I98" s="134"/>
      <c r="J98" s="134"/>
      <c r="K98" s="55"/>
      <c r="L98" s="55"/>
      <c r="M98" s="54"/>
    </row>
    <row r="99" spans="2:13" ht="49.5" customHeight="1" x14ac:dyDescent="0.3">
      <c r="B99" s="97"/>
      <c r="C99" s="54"/>
      <c r="D99" s="55"/>
      <c r="E99" s="55"/>
      <c r="F99" s="55"/>
      <c r="G99" s="56"/>
      <c r="H99" s="133"/>
      <c r="I99" s="134"/>
      <c r="J99" s="134"/>
      <c r="K99" s="55"/>
      <c r="L99" s="55"/>
      <c r="M99" s="54"/>
    </row>
    <row r="100" spans="2:13" ht="49.5" customHeight="1" x14ac:dyDescent="0.3">
      <c r="B100" s="97"/>
      <c r="C100" s="54"/>
      <c r="D100" s="55"/>
      <c r="E100" s="55"/>
      <c r="F100" s="55"/>
      <c r="G100" s="56"/>
      <c r="H100" s="133"/>
      <c r="I100" s="134"/>
      <c r="J100" s="134"/>
      <c r="K100" s="55"/>
      <c r="L100" s="55"/>
      <c r="M100" s="54"/>
    </row>
    <row r="101" spans="2:13" ht="49.5" customHeight="1" x14ac:dyDescent="0.3">
      <c r="B101" s="97"/>
      <c r="C101" s="54"/>
      <c r="D101" s="55"/>
      <c r="E101" s="55"/>
      <c r="F101" s="55"/>
      <c r="G101" s="56"/>
      <c r="H101" s="133"/>
      <c r="I101" s="134"/>
      <c r="J101" s="134"/>
      <c r="K101" s="55"/>
      <c r="L101" s="55"/>
      <c r="M101" s="54"/>
    </row>
    <row r="102" spans="2:13" ht="49.5" customHeight="1" x14ac:dyDescent="0.3">
      <c r="B102" s="97"/>
      <c r="C102" s="54"/>
      <c r="D102" s="55"/>
      <c r="E102" s="55"/>
      <c r="F102" s="55"/>
      <c r="G102" s="56"/>
      <c r="H102" s="133"/>
      <c r="I102" s="134"/>
      <c r="J102" s="134"/>
      <c r="K102" s="55"/>
      <c r="L102" s="55"/>
      <c r="M102" s="54"/>
    </row>
    <row r="103" spans="2:13" ht="49.5" customHeight="1" x14ac:dyDescent="0.3">
      <c r="B103" s="97"/>
      <c r="C103" s="54"/>
      <c r="D103" s="55"/>
      <c r="E103" s="55"/>
      <c r="F103" s="55"/>
      <c r="G103" s="56"/>
      <c r="H103" s="133"/>
      <c r="I103" s="134"/>
      <c r="J103" s="134"/>
      <c r="K103" s="55"/>
      <c r="L103" s="55"/>
      <c r="M103" s="54"/>
    </row>
    <row r="104" spans="2:13" ht="49.5" customHeight="1" x14ac:dyDescent="0.3">
      <c r="B104" s="97"/>
      <c r="C104" s="54"/>
      <c r="D104" s="55"/>
      <c r="E104" s="55"/>
      <c r="F104" s="55"/>
      <c r="G104" s="56"/>
      <c r="H104" s="133"/>
      <c r="I104" s="134"/>
      <c r="J104" s="134"/>
      <c r="K104" s="55"/>
      <c r="L104" s="55"/>
      <c r="M104" s="54"/>
    </row>
    <row r="105" spans="2:13" ht="49.5" customHeight="1" x14ac:dyDescent="0.3">
      <c r="B105" s="97"/>
      <c r="C105" s="54"/>
      <c r="D105" s="55"/>
      <c r="E105" s="55"/>
      <c r="F105" s="55"/>
      <c r="G105" s="56"/>
      <c r="H105" s="133"/>
      <c r="I105" s="134"/>
      <c r="J105" s="134"/>
      <c r="K105" s="55"/>
      <c r="L105" s="55"/>
      <c r="M105" s="54"/>
    </row>
    <row r="106" spans="2:13" ht="49.5" customHeight="1" x14ac:dyDescent="0.3">
      <c r="B106" s="97"/>
      <c r="C106" s="54"/>
      <c r="D106" s="55"/>
      <c r="E106" s="55"/>
      <c r="F106" s="55"/>
      <c r="G106" s="56"/>
      <c r="H106" s="133"/>
      <c r="I106" s="134"/>
      <c r="J106" s="134"/>
      <c r="K106" s="55"/>
      <c r="L106" s="55"/>
      <c r="M106" s="54"/>
    </row>
    <row r="107" spans="2:13" ht="49.5" customHeight="1" x14ac:dyDescent="0.3">
      <c r="B107" s="97"/>
      <c r="C107" s="54"/>
      <c r="D107" s="55"/>
      <c r="E107" s="55"/>
      <c r="F107" s="55"/>
      <c r="G107" s="56"/>
      <c r="H107" s="133"/>
      <c r="I107" s="134"/>
      <c r="J107" s="134"/>
      <c r="K107" s="55"/>
      <c r="L107" s="55"/>
      <c r="M107" s="54"/>
    </row>
    <row r="108" spans="2:13" ht="49.5" customHeight="1" x14ac:dyDescent="0.3">
      <c r="B108" s="97"/>
      <c r="C108" s="54"/>
      <c r="D108" s="55"/>
      <c r="E108" s="55"/>
      <c r="F108" s="55"/>
      <c r="G108" s="56"/>
      <c r="H108" s="133"/>
      <c r="I108" s="134"/>
      <c r="J108" s="134"/>
      <c r="K108" s="55"/>
      <c r="L108" s="55"/>
      <c r="M108" s="54"/>
    </row>
    <row r="109" spans="2:13" ht="49.5" customHeight="1" x14ac:dyDescent="0.3">
      <c r="B109" s="97"/>
      <c r="C109" s="54"/>
      <c r="D109" s="55"/>
      <c r="E109" s="55"/>
      <c r="F109" s="55"/>
      <c r="G109" s="56"/>
      <c r="H109" s="133"/>
      <c r="I109" s="134"/>
      <c r="J109" s="134"/>
      <c r="K109" s="55"/>
      <c r="L109" s="55"/>
      <c r="M109" s="54"/>
    </row>
    <row r="110" spans="2:13" ht="49.5" customHeight="1" x14ac:dyDescent="0.3">
      <c r="B110" s="97"/>
      <c r="C110" s="54"/>
      <c r="D110" s="55"/>
      <c r="E110" s="55"/>
      <c r="F110" s="55"/>
      <c r="G110" s="56"/>
      <c r="H110" s="133"/>
      <c r="I110" s="134"/>
      <c r="J110" s="134"/>
      <c r="K110" s="55"/>
      <c r="L110" s="55"/>
      <c r="M110" s="54"/>
    </row>
    <row r="111" spans="2:13" ht="49.5" customHeight="1" x14ac:dyDescent="0.3">
      <c r="B111" s="97"/>
      <c r="C111" s="54"/>
      <c r="D111" s="55"/>
      <c r="E111" s="55"/>
      <c r="F111" s="55"/>
      <c r="G111" s="56"/>
      <c r="H111" s="133"/>
      <c r="I111" s="134"/>
      <c r="J111" s="134"/>
      <c r="K111" s="55"/>
      <c r="L111" s="55"/>
      <c r="M111" s="54"/>
    </row>
    <row r="112" spans="2:13" ht="49.5" customHeight="1" x14ac:dyDescent="0.3">
      <c r="B112" s="97"/>
      <c r="C112" s="54"/>
      <c r="D112" s="55"/>
      <c r="E112" s="55"/>
      <c r="F112" s="55"/>
      <c r="G112" s="56"/>
      <c r="H112" s="133"/>
      <c r="I112" s="134"/>
      <c r="J112" s="134"/>
      <c r="K112" s="55"/>
      <c r="L112" s="55"/>
      <c r="M112" s="54"/>
    </row>
    <row r="113" spans="2:13" ht="49.5" customHeight="1" x14ac:dyDescent="0.3">
      <c r="B113" s="97"/>
      <c r="C113" s="54"/>
      <c r="D113" s="55"/>
      <c r="E113" s="55"/>
      <c r="F113" s="55"/>
      <c r="G113" s="56"/>
      <c r="H113" s="133"/>
      <c r="I113" s="134"/>
      <c r="J113" s="134"/>
      <c r="K113" s="55"/>
      <c r="L113" s="55"/>
      <c r="M113" s="54"/>
    </row>
    <row r="114" spans="2:13" ht="49.5" customHeight="1" x14ac:dyDescent="0.3">
      <c r="B114" s="97"/>
      <c r="C114" s="54"/>
      <c r="D114" s="55"/>
      <c r="E114" s="55"/>
      <c r="F114" s="55"/>
      <c r="G114" s="56"/>
      <c r="H114" s="133"/>
      <c r="I114" s="134"/>
      <c r="J114" s="134"/>
      <c r="K114" s="55"/>
      <c r="L114" s="55"/>
      <c r="M114" s="54"/>
    </row>
    <row r="115" spans="2:13" ht="49.5" customHeight="1" x14ac:dyDescent="0.3">
      <c r="B115" s="97"/>
      <c r="C115" s="54"/>
      <c r="D115" s="55"/>
      <c r="E115" s="55"/>
      <c r="F115" s="55"/>
      <c r="G115" s="56"/>
      <c r="H115" s="133"/>
      <c r="I115" s="134"/>
      <c r="J115" s="134"/>
      <c r="K115" s="55"/>
      <c r="L115" s="55"/>
      <c r="M115" s="54"/>
    </row>
    <row r="116" spans="2:13" ht="49.5" customHeight="1" x14ac:dyDescent="0.3">
      <c r="B116" s="97"/>
      <c r="C116" s="54"/>
      <c r="D116" s="55"/>
      <c r="E116" s="55"/>
      <c r="F116" s="55"/>
      <c r="G116" s="56"/>
      <c r="H116" s="133"/>
      <c r="I116" s="134"/>
      <c r="J116" s="134"/>
      <c r="K116" s="55"/>
      <c r="L116" s="55"/>
      <c r="M116" s="54"/>
    </row>
    <row r="117" spans="2:13" ht="49.5" customHeight="1" x14ac:dyDescent="0.3">
      <c r="B117" s="97"/>
      <c r="C117" s="54"/>
      <c r="D117" s="55"/>
      <c r="E117" s="55"/>
      <c r="F117" s="55"/>
      <c r="G117" s="56"/>
      <c r="H117" s="133"/>
      <c r="I117" s="134"/>
      <c r="J117" s="134"/>
      <c r="K117" s="55"/>
      <c r="L117" s="55"/>
      <c r="M117" s="54"/>
    </row>
    <row r="118" spans="2:13" ht="49.5" customHeight="1" x14ac:dyDescent="0.3">
      <c r="B118" s="97"/>
      <c r="C118" s="54"/>
      <c r="D118" s="55"/>
      <c r="E118" s="55"/>
      <c r="F118" s="55"/>
      <c r="G118" s="56"/>
      <c r="H118" s="133"/>
      <c r="I118" s="134"/>
      <c r="J118" s="134"/>
      <c r="K118" s="55"/>
      <c r="L118" s="55"/>
      <c r="M118" s="54"/>
    </row>
    <row r="119" spans="2:13" ht="49.5" customHeight="1" x14ac:dyDescent="0.3">
      <c r="B119" s="97"/>
      <c r="C119" s="54"/>
      <c r="D119" s="55"/>
      <c r="E119" s="55"/>
      <c r="F119" s="55"/>
      <c r="G119" s="56"/>
      <c r="H119" s="133"/>
      <c r="I119" s="134"/>
      <c r="J119" s="134"/>
      <c r="K119" s="55"/>
      <c r="L119" s="55"/>
      <c r="M119" s="54"/>
    </row>
    <row r="120" spans="2:13" ht="49.5" customHeight="1" x14ac:dyDescent="0.3">
      <c r="B120" s="97"/>
      <c r="C120" s="54"/>
      <c r="D120" s="55"/>
      <c r="E120" s="55"/>
      <c r="F120" s="55"/>
      <c r="G120" s="56"/>
      <c r="H120" s="133"/>
      <c r="I120" s="134"/>
      <c r="J120" s="134"/>
      <c r="K120" s="55"/>
      <c r="L120" s="55"/>
      <c r="M120" s="54"/>
    </row>
    <row r="121" spans="2:13" ht="49.5" customHeight="1" x14ac:dyDescent="0.3">
      <c r="B121" s="97"/>
      <c r="C121" s="54"/>
      <c r="D121" s="55"/>
      <c r="E121" s="55"/>
      <c r="F121" s="55"/>
      <c r="G121" s="56"/>
      <c r="H121" s="133"/>
      <c r="I121" s="134"/>
      <c r="J121" s="134"/>
      <c r="K121" s="55"/>
      <c r="L121" s="55"/>
      <c r="M121" s="54"/>
    </row>
    <row r="122" spans="2:13" ht="49.5" customHeight="1" x14ac:dyDescent="0.3">
      <c r="B122" s="97"/>
      <c r="C122" s="54"/>
      <c r="D122" s="55"/>
      <c r="E122" s="55"/>
      <c r="F122" s="55"/>
      <c r="G122" s="56"/>
      <c r="H122" s="133"/>
      <c r="I122" s="134"/>
      <c r="J122" s="134"/>
      <c r="K122" s="55"/>
      <c r="L122" s="55"/>
      <c r="M122" s="54"/>
    </row>
    <row r="123" spans="2:13" ht="49.5" customHeight="1" x14ac:dyDescent="0.3">
      <c r="B123" s="97"/>
      <c r="C123" s="54"/>
      <c r="D123" s="55"/>
      <c r="E123" s="55"/>
      <c r="F123" s="55"/>
      <c r="G123" s="56"/>
      <c r="H123" s="133"/>
      <c r="I123" s="134"/>
      <c r="J123" s="134"/>
      <c r="K123" s="55"/>
      <c r="L123" s="55"/>
      <c r="M123" s="54"/>
    </row>
    <row r="124" spans="2:13" ht="49.5" customHeight="1" x14ac:dyDescent="0.3">
      <c r="B124" s="97"/>
      <c r="C124" s="54"/>
      <c r="D124" s="55"/>
      <c r="E124" s="55"/>
      <c r="F124" s="55"/>
      <c r="G124" s="56"/>
      <c r="H124" s="133"/>
      <c r="I124" s="134"/>
      <c r="J124" s="134"/>
      <c r="K124" s="55"/>
      <c r="L124" s="55"/>
      <c r="M124" s="54"/>
    </row>
    <row r="125" spans="2:13" ht="49.5" customHeight="1" x14ac:dyDescent="0.3">
      <c r="B125" s="97"/>
      <c r="C125" s="54"/>
      <c r="D125" s="55"/>
      <c r="E125" s="55"/>
      <c r="F125" s="55"/>
      <c r="G125" s="56"/>
      <c r="H125" s="133"/>
      <c r="I125" s="134"/>
      <c r="J125" s="134"/>
      <c r="K125" s="55"/>
      <c r="L125" s="55"/>
      <c r="M125" s="54"/>
    </row>
    <row r="126" spans="2:13" ht="49.5" customHeight="1" x14ac:dyDescent="0.3">
      <c r="B126" s="97"/>
      <c r="C126" s="54"/>
      <c r="D126" s="55"/>
      <c r="E126" s="55"/>
      <c r="F126" s="55"/>
      <c r="G126" s="56"/>
      <c r="H126" s="133"/>
      <c r="I126" s="134"/>
      <c r="J126" s="134"/>
      <c r="K126" s="55"/>
      <c r="L126" s="55"/>
      <c r="M126" s="54"/>
    </row>
    <row r="127" spans="2:13" ht="49.5" customHeight="1" x14ac:dyDescent="0.3">
      <c r="B127" s="97"/>
      <c r="C127" s="54"/>
      <c r="D127" s="55"/>
      <c r="E127" s="55"/>
      <c r="F127" s="55"/>
      <c r="G127" s="56"/>
      <c r="H127" s="133"/>
      <c r="I127" s="134"/>
      <c r="J127" s="134"/>
      <c r="K127" s="55"/>
      <c r="L127" s="55"/>
      <c r="M127" s="54"/>
    </row>
    <row r="128" spans="2:13" ht="49.5" customHeight="1" x14ac:dyDescent="0.3">
      <c r="B128" s="97"/>
      <c r="C128" s="54"/>
      <c r="D128" s="55"/>
      <c r="E128" s="55"/>
      <c r="F128" s="55"/>
      <c r="G128" s="56"/>
      <c r="H128" s="133"/>
      <c r="I128" s="134"/>
      <c r="J128" s="134"/>
      <c r="K128" s="55"/>
      <c r="L128" s="55"/>
      <c r="M128" s="54"/>
    </row>
    <row r="129" spans="2:13" ht="49.5" customHeight="1" x14ac:dyDescent="0.3">
      <c r="B129" s="97"/>
      <c r="C129" s="54"/>
      <c r="D129" s="55"/>
      <c r="E129" s="55"/>
      <c r="F129" s="55"/>
      <c r="G129" s="56"/>
      <c r="H129" s="133"/>
      <c r="I129" s="134"/>
      <c r="J129" s="134"/>
      <c r="K129" s="55"/>
      <c r="L129" s="55"/>
      <c r="M129" s="54"/>
    </row>
    <row r="130" spans="2:13" ht="49.5" customHeight="1" x14ac:dyDescent="0.3">
      <c r="B130" s="97"/>
      <c r="C130" s="54"/>
      <c r="D130" s="55"/>
      <c r="E130" s="55"/>
      <c r="F130" s="55"/>
      <c r="G130" s="56"/>
      <c r="H130" s="133"/>
      <c r="I130" s="134"/>
      <c r="J130" s="134"/>
      <c r="K130" s="55"/>
      <c r="L130" s="55"/>
      <c r="M130" s="54"/>
    </row>
    <row r="131" spans="2:13" ht="49.5" customHeight="1" x14ac:dyDescent="0.3">
      <c r="B131" s="97"/>
      <c r="C131" s="54"/>
      <c r="D131" s="55"/>
      <c r="E131" s="55"/>
      <c r="F131" s="55"/>
      <c r="G131" s="56"/>
      <c r="H131" s="133"/>
      <c r="I131" s="134"/>
      <c r="J131" s="134"/>
      <c r="K131" s="55"/>
      <c r="L131" s="55"/>
      <c r="M131" s="54"/>
    </row>
    <row r="132" spans="2:13" ht="49.5" customHeight="1" x14ac:dyDescent="0.3">
      <c r="B132" s="97"/>
      <c r="C132" s="54"/>
      <c r="D132" s="55"/>
      <c r="E132" s="55"/>
      <c r="F132" s="55"/>
      <c r="G132" s="56"/>
      <c r="H132" s="133"/>
      <c r="I132" s="134"/>
      <c r="J132" s="134"/>
      <c r="K132" s="55"/>
      <c r="L132" s="55"/>
      <c r="M132" s="54"/>
    </row>
    <row r="133" spans="2:13" ht="49.5" customHeight="1" x14ac:dyDescent="0.3">
      <c r="B133" s="97"/>
      <c r="C133" s="54"/>
      <c r="D133" s="55"/>
      <c r="E133" s="55"/>
      <c r="F133" s="55"/>
      <c r="G133" s="56"/>
      <c r="H133" s="133"/>
      <c r="I133" s="134"/>
      <c r="J133" s="134"/>
      <c r="K133" s="55"/>
      <c r="L133" s="55"/>
      <c r="M133" s="54"/>
    </row>
    <row r="134" spans="2:13" ht="49.5" customHeight="1" x14ac:dyDescent="0.3">
      <c r="B134" s="97"/>
      <c r="C134" s="54"/>
      <c r="D134" s="55"/>
      <c r="E134" s="55"/>
      <c r="F134" s="55"/>
      <c r="G134" s="56"/>
      <c r="H134" s="133"/>
      <c r="I134" s="134"/>
      <c r="J134" s="134"/>
      <c r="K134" s="55"/>
      <c r="L134" s="55"/>
      <c r="M134" s="54"/>
    </row>
    <row r="135" spans="2:13" ht="49.5" customHeight="1" x14ac:dyDescent="0.3">
      <c r="B135" s="97"/>
      <c r="C135" s="54"/>
      <c r="D135" s="55"/>
      <c r="E135" s="55"/>
      <c r="F135" s="55"/>
      <c r="G135" s="56"/>
      <c r="H135" s="133"/>
      <c r="I135" s="134"/>
      <c r="J135" s="134"/>
      <c r="K135" s="55"/>
      <c r="L135" s="55"/>
      <c r="M135" s="54"/>
    </row>
    <row r="136" spans="2:13" ht="49.5" customHeight="1" x14ac:dyDescent="0.3">
      <c r="B136" s="97"/>
      <c r="C136" s="54"/>
      <c r="D136" s="55"/>
      <c r="E136" s="55"/>
      <c r="F136" s="55"/>
      <c r="G136" s="56"/>
      <c r="H136" s="133"/>
      <c r="I136" s="134"/>
      <c r="J136" s="134"/>
      <c r="K136" s="55"/>
      <c r="L136" s="55"/>
      <c r="M136" s="54"/>
    </row>
    <row r="137" spans="2:13" ht="49.5" customHeight="1" x14ac:dyDescent="0.3">
      <c r="B137" s="97"/>
      <c r="C137" s="54"/>
      <c r="D137" s="55"/>
      <c r="E137" s="55"/>
      <c r="F137" s="55"/>
      <c r="G137" s="56"/>
      <c r="H137" s="133"/>
      <c r="I137" s="134"/>
      <c r="J137" s="134"/>
      <c r="K137" s="55"/>
      <c r="L137" s="55"/>
      <c r="M137" s="54"/>
    </row>
    <row r="138" spans="2:13" ht="49.5" customHeight="1" x14ac:dyDescent="0.3">
      <c r="B138" s="97"/>
      <c r="C138" s="54"/>
      <c r="D138" s="55"/>
      <c r="E138" s="55"/>
      <c r="F138" s="55"/>
      <c r="G138" s="56"/>
      <c r="H138" s="133"/>
      <c r="I138" s="134"/>
      <c r="J138" s="134"/>
      <c r="K138" s="55"/>
      <c r="L138" s="55"/>
      <c r="M138" s="54"/>
    </row>
    <row r="139" spans="2:13" ht="49.5" customHeight="1" x14ac:dyDescent="0.3">
      <c r="B139" s="97"/>
      <c r="C139" s="54"/>
      <c r="D139" s="55"/>
      <c r="E139" s="55"/>
      <c r="F139" s="55"/>
      <c r="G139" s="56"/>
      <c r="H139" s="133"/>
      <c r="I139" s="134"/>
      <c r="J139" s="134"/>
      <c r="K139" s="55"/>
      <c r="L139" s="55"/>
      <c r="M139" s="54"/>
    </row>
    <row r="140" spans="2:13" ht="49.5" customHeight="1" x14ac:dyDescent="0.3">
      <c r="B140" s="97"/>
      <c r="C140" s="54"/>
      <c r="D140" s="55"/>
      <c r="E140" s="55"/>
      <c r="F140" s="55"/>
      <c r="G140" s="56"/>
      <c r="H140" s="133"/>
      <c r="I140" s="134"/>
      <c r="J140" s="134"/>
      <c r="K140" s="55"/>
      <c r="L140" s="55"/>
      <c r="M140" s="54"/>
    </row>
    <row r="141" spans="2:13" ht="49.5" customHeight="1" x14ac:dyDescent="0.3">
      <c r="B141" s="97"/>
      <c r="C141" s="54"/>
      <c r="D141" s="55"/>
      <c r="E141" s="55"/>
      <c r="F141" s="55"/>
      <c r="G141" s="56"/>
      <c r="H141" s="133"/>
      <c r="I141" s="134"/>
      <c r="J141" s="134"/>
      <c r="K141" s="55"/>
      <c r="L141" s="55"/>
      <c r="M141" s="54"/>
    </row>
    <row r="142" spans="2:13" ht="49.5" customHeight="1" x14ac:dyDescent="0.3">
      <c r="B142" s="97"/>
      <c r="C142" s="54"/>
      <c r="D142" s="55"/>
      <c r="E142" s="55"/>
      <c r="F142" s="55"/>
      <c r="G142" s="56"/>
      <c r="H142" s="133"/>
      <c r="I142" s="134"/>
      <c r="J142" s="134"/>
      <c r="K142" s="55"/>
      <c r="L142" s="55"/>
      <c r="M142" s="54"/>
    </row>
    <row r="143" spans="2:13" ht="49.5" customHeight="1" x14ac:dyDescent="0.3">
      <c r="B143" s="97"/>
      <c r="C143" s="54"/>
      <c r="D143" s="55"/>
      <c r="E143" s="55"/>
      <c r="F143" s="55"/>
      <c r="G143" s="56"/>
      <c r="H143" s="133"/>
      <c r="I143" s="134"/>
      <c r="J143" s="134"/>
      <c r="K143" s="55"/>
      <c r="L143" s="55"/>
      <c r="M143" s="54"/>
    </row>
    <row r="144" spans="2:13" ht="49.5" customHeight="1" x14ac:dyDescent="0.3">
      <c r="B144" s="97"/>
      <c r="C144" s="54"/>
      <c r="D144" s="55"/>
      <c r="E144" s="55"/>
      <c r="F144" s="55"/>
      <c r="G144" s="56"/>
      <c r="H144" s="133"/>
      <c r="I144" s="134"/>
      <c r="J144" s="134"/>
      <c r="K144" s="55"/>
      <c r="L144" s="55"/>
      <c r="M144" s="54"/>
    </row>
    <row r="145" spans="2:13" ht="49.5" customHeight="1" x14ac:dyDescent="0.3">
      <c r="B145" s="97"/>
      <c r="C145" s="54"/>
      <c r="D145" s="55"/>
      <c r="E145" s="55"/>
      <c r="F145" s="55"/>
      <c r="G145" s="56"/>
      <c r="H145" s="133"/>
      <c r="I145" s="134"/>
      <c r="J145" s="134"/>
      <c r="K145" s="55"/>
      <c r="L145" s="55"/>
      <c r="M145" s="54"/>
    </row>
    <row r="146" spans="2:13" ht="49.5" customHeight="1" x14ac:dyDescent="0.3">
      <c r="B146" s="97"/>
      <c r="C146" s="54"/>
      <c r="D146" s="55"/>
      <c r="E146" s="55"/>
      <c r="F146" s="55"/>
      <c r="G146" s="56"/>
      <c r="H146" s="133"/>
      <c r="I146" s="134"/>
      <c r="J146" s="134"/>
      <c r="K146" s="55"/>
      <c r="L146" s="55"/>
      <c r="M146" s="54"/>
    </row>
    <row r="147" spans="2:13" ht="49.5" customHeight="1" x14ac:dyDescent="0.3">
      <c r="B147" s="97"/>
      <c r="C147" s="54"/>
      <c r="D147" s="55"/>
      <c r="E147" s="55"/>
      <c r="F147" s="55"/>
      <c r="G147" s="56"/>
      <c r="H147" s="133"/>
      <c r="I147" s="134"/>
      <c r="J147" s="134"/>
      <c r="K147" s="55"/>
      <c r="L147" s="55"/>
      <c r="M147" s="54"/>
    </row>
    <row r="148" spans="2:13" ht="49.5" customHeight="1" x14ac:dyDescent="0.3">
      <c r="B148" s="97"/>
      <c r="C148" s="54"/>
      <c r="D148" s="55"/>
      <c r="E148" s="55"/>
      <c r="F148" s="55"/>
      <c r="G148" s="56"/>
      <c r="H148" s="133"/>
      <c r="I148" s="134"/>
      <c r="J148" s="134"/>
      <c r="K148" s="55"/>
      <c r="L148" s="55"/>
      <c r="M148" s="54"/>
    </row>
    <row r="149" spans="2:13" ht="49.5" customHeight="1" x14ac:dyDescent="0.3">
      <c r="B149" s="97"/>
      <c r="C149" s="54"/>
      <c r="D149" s="55"/>
      <c r="E149" s="55"/>
      <c r="F149" s="55"/>
      <c r="G149" s="56"/>
      <c r="H149" s="133"/>
      <c r="I149" s="134"/>
      <c r="J149" s="134"/>
      <c r="K149" s="55"/>
      <c r="L149" s="55"/>
      <c r="M149" s="54"/>
    </row>
    <row r="150" spans="2:13" ht="49.5" customHeight="1" x14ac:dyDescent="0.3">
      <c r="B150" s="97"/>
      <c r="C150" s="54"/>
      <c r="D150" s="55"/>
      <c r="E150" s="55"/>
      <c r="F150" s="55"/>
      <c r="G150" s="56"/>
      <c r="H150" s="133"/>
      <c r="I150" s="134"/>
      <c r="J150" s="134"/>
      <c r="K150" s="55"/>
      <c r="L150" s="55"/>
      <c r="M150" s="54"/>
    </row>
    <row r="151" spans="2:13" ht="49.5" customHeight="1" x14ac:dyDescent="0.3">
      <c r="B151" s="97"/>
      <c r="C151" s="54"/>
      <c r="D151" s="55"/>
      <c r="E151" s="55"/>
      <c r="F151" s="55"/>
      <c r="G151" s="56"/>
      <c r="H151" s="133"/>
      <c r="I151" s="134"/>
      <c r="J151" s="134"/>
      <c r="K151" s="55"/>
      <c r="L151" s="55"/>
      <c r="M151" s="54"/>
    </row>
    <row r="152" spans="2:13" ht="49.5" customHeight="1" x14ac:dyDescent="0.3">
      <c r="B152" s="97"/>
      <c r="C152" s="54"/>
      <c r="D152" s="55"/>
      <c r="E152" s="55"/>
      <c r="F152" s="55"/>
      <c r="G152" s="56"/>
      <c r="H152" s="133"/>
      <c r="I152" s="134"/>
      <c r="J152" s="134"/>
      <c r="K152" s="55"/>
      <c r="L152" s="55"/>
      <c r="M152" s="54"/>
    </row>
    <row r="153" spans="2:13" ht="49.5" customHeight="1" x14ac:dyDescent="0.3">
      <c r="B153" s="97"/>
      <c r="C153" s="54"/>
      <c r="D153" s="55"/>
      <c r="E153" s="55"/>
      <c r="F153" s="55"/>
      <c r="G153" s="56"/>
      <c r="H153" s="133"/>
      <c r="I153" s="134"/>
      <c r="J153" s="134"/>
      <c r="K153" s="55"/>
      <c r="L153" s="55"/>
      <c r="M153" s="54"/>
    </row>
    <row r="154" spans="2:13" ht="49.5" customHeight="1" x14ac:dyDescent="0.3">
      <c r="B154" s="97"/>
      <c r="C154" s="54"/>
      <c r="D154" s="55"/>
      <c r="E154" s="55"/>
      <c r="F154" s="55"/>
      <c r="G154" s="56"/>
      <c r="H154" s="133"/>
      <c r="I154" s="134"/>
      <c r="J154" s="134"/>
      <c r="K154" s="55"/>
      <c r="L154" s="55"/>
      <c r="M154" s="54"/>
    </row>
    <row r="155" spans="2:13" ht="49.5" customHeight="1" x14ac:dyDescent="0.3">
      <c r="B155" s="97"/>
      <c r="C155" s="54"/>
      <c r="D155" s="55"/>
      <c r="E155" s="55"/>
      <c r="F155" s="55"/>
      <c r="G155" s="56"/>
      <c r="H155" s="133"/>
      <c r="I155" s="134"/>
      <c r="J155" s="134"/>
      <c r="K155" s="55"/>
      <c r="L155" s="55"/>
      <c r="M155" s="54"/>
    </row>
    <row r="156" spans="2:13" ht="49.5" customHeight="1" x14ac:dyDescent="0.3">
      <c r="B156" s="97"/>
      <c r="C156" s="54"/>
      <c r="D156" s="55"/>
      <c r="E156" s="55"/>
      <c r="F156" s="55"/>
      <c r="G156" s="56"/>
      <c r="H156" s="133"/>
      <c r="I156" s="134"/>
      <c r="J156" s="134"/>
      <c r="K156" s="55"/>
      <c r="L156" s="55"/>
      <c r="M156" s="54"/>
    </row>
    <row r="157" spans="2:13" ht="49.5" customHeight="1" x14ac:dyDescent="0.3">
      <c r="B157" s="97"/>
      <c r="C157" s="54"/>
      <c r="D157" s="55"/>
      <c r="E157" s="55"/>
      <c r="F157" s="55"/>
      <c r="G157" s="56"/>
      <c r="H157" s="133"/>
      <c r="I157" s="134"/>
      <c r="J157" s="134"/>
      <c r="K157" s="55"/>
      <c r="L157" s="55"/>
      <c r="M157" s="54"/>
    </row>
    <row r="158" spans="2:13" ht="49.5" customHeight="1" x14ac:dyDescent="0.3">
      <c r="B158" s="97"/>
      <c r="C158" s="54"/>
      <c r="D158" s="55"/>
      <c r="E158" s="55"/>
      <c r="F158" s="55"/>
      <c r="G158" s="56"/>
      <c r="H158" s="133"/>
      <c r="I158" s="134"/>
      <c r="J158" s="134"/>
      <c r="K158" s="55"/>
      <c r="L158" s="55"/>
      <c r="M158" s="54"/>
    </row>
    <row r="159" spans="2:13" ht="49.5" customHeight="1" x14ac:dyDescent="0.3">
      <c r="B159" s="97"/>
      <c r="C159" s="54"/>
      <c r="D159" s="55"/>
      <c r="E159" s="55"/>
      <c r="F159" s="55"/>
      <c r="G159" s="56"/>
      <c r="H159" s="133"/>
      <c r="I159" s="134"/>
      <c r="J159" s="134"/>
      <c r="K159" s="55"/>
      <c r="L159" s="55"/>
      <c r="M159" s="54"/>
    </row>
    <row r="160" spans="2:13" ht="49.5" customHeight="1" x14ac:dyDescent="0.3">
      <c r="B160" s="97"/>
      <c r="C160" s="54"/>
      <c r="D160" s="55"/>
      <c r="E160" s="55"/>
      <c r="F160" s="55"/>
      <c r="G160" s="56"/>
      <c r="H160" s="133"/>
      <c r="I160" s="134"/>
      <c r="J160" s="134"/>
      <c r="K160" s="55"/>
      <c r="L160" s="55"/>
      <c r="M160" s="54"/>
    </row>
    <row r="161" spans="2:13" ht="49.5" customHeight="1" x14ac:dyDescent="0.3">
      <c r="B161" s="97"/>
      <c r="C161" s="54"/>
      <c r="D161" s="55"/>
      <c r="E161" s="55"/>
      <c r="F161" s="55"/>
      <c r="G161" s="56"/>
      <c r="H161" s="133"/>
      <c r="I161" s="134"/>
      <c r="J161" s="134"/>
      <c r="K161" s="55"/>
      <c r="L161" s="55"/>
      <c r="M161" s="54"/>
    </row>
    <row r="162" spans="2:13" ht="49.5" customHeight="1" x14ac:dyDescent="0.3">
      <c r="B162" s="97"/>
      <c r="C162" s="54"/>
      <c r="D162" s="55"/>
      <c r="E162" s="55"/>
      <c r="F162" s="55"/>
      <c r="G162" s="56"/>
      <c r="H162" s="133"/>
      <c r="I162" s="134"/>
      <c r="J162" s="134"/>
      <c r="K162" s="55"/>
      <c r="L162" s="55"/>
      <c r="M162" s="54"/>
    </row>
    <row r="163" spans="2:13" ht="49.5" customHeight="1" x14ac:dyDescent="0.3">
      <c r="B163" s="97"/>
      <c r="C163" s="54"/>
      <c r="D163" s="55"/>
      <c r="E163" s="55"/>
      <c r="F163" s="55"/>
      <c r="G163" s="56"/>
      <c r="H163" s="133"/>
      <c r="I163" s="134"/>
      <c r="J163" s="134"/>
      <c r="K163" s="55"/>
      <c r="L163" s="55"/>
      <c r="M163" s="54"/>
    </row>
    <row r="164" spans="2:13" ht="49.5" customHeight="1" x14ac:dyDescent="0.3">
      <c r="B164" s="97"/>
      <c r="C164" s="54"/>
      <c r="D164" s="55"/>
      <c r="E164" s="55"/>
      <c r="F164" s="55"/>
      <c r="G164" s="56"/>
      <c r="H164" s="133"/>
      <c r="I164" s="134"/>
      <c r="J164" s="134"/>
      <c r="K164" s="55"/>
      <c r="L164" s="55"/>
      <c r="M164" s="54"/>
    </row>
    <row r="165" spans="2:13" ht="49.5" customHeight="1" x14ac:dyDescent="0.3">
      <c r="B165" s="97"/>
      <c r="C165" s="54"/>
      <c r="D165" s="55"/>
      <c r="E165" s="55"/>
      <c r="F165" s="55"/>
      <c r="G165" s="56"/>
      <c r="H165" s="133"/>
      <c r="I165" s="134"/>
      <c r="J165" s="134"/>
      <c r="K165" s="55"/>
      <c r="L165" s="55"/>
      <c r="M165" s="54"/>
    </row>
    <row r="166" spans="2:13" ht="49.5" customHeight="1" x14ac:dyDescent="0.3">
      <c r="B166" s="97"/>
      <c r="C166" s="54"/>
      <c r="D166" s="55"/>
      <c r="E166" s="55"/>
      <c r="F166" s="55"/>
      <c r="G166" s="56"/>
      <c r="H166" s="133"/>
      <c r="I166" s="134"/>
      <c r="J166" s="134"/>
      <c r="K166" s="55"/>
      <c r="L166" s="55"/>
      <c r="M166" s="54"/>
    </row>
    <row r="167" spans="2:13" ht="49.5" customHeight="1" x14ac:dyDescent="0.3">
      <c r="B167" s="97"/>
      <c r="C167" s="54"/>
      <c r="D167" s="55"/>
      <c r="E167" s="55"/>
      <c r="F167" s="55"/>
      <c r="G167" s="56"/>
      <c r="H167" s="133"/>
      <c r="I167" s="134"/>
      <c r="J167" s="134"/>
      <c r="K167" s="55"/>
      <c r="L167" s="55"/>
      <c r="M167" s="54"/>
    </row>
    <row r="168" spans="2:13" ht="49.5" customHeight="1" x14ac:dyDescent="0.3">
      <c r="B168" s="97"/>
      <c r="C168" s="54"/>
      <c r="D168" s="55"/>
      <c r="E168" s="55"/>
      <c r="F168" s="55"/>
      <c r="G168" s="56"/>
      <c r="H168" s="133"/>
      <c r="I168" s="134"/>
      <c r="J168" s="134"/>
      <c r="K168" s="55"/>
      <c r="L168" s="55"/>
      <c r="M168" s="54"/>
    </row>
    <row r="169" spans="2:13" ht="49.5" customHeight="1" x14ac:dyDescent="0.3">
      <c r="B169" s="97"/>
      <c r="C169" s="54"/>
      <c r="D169" s="55"/>
      <c r="E169" s="55"/>
      <c r="F169" s="55"/>
      <c r="G169" s="56"/>
      <c r="H169" s="133"/>
      <c r="I169" s="134"/>
      <c r="J169" s="134"/>
      <c r="K169" s="55"/>
      <c r="L169" s="55"/>
      <c r="M169" s="54"/>
    </row>
    <row r="170" spans="2:13" ht="49.5" customHeight="1" x14ac:dyDescent="0.3">
      <c r="B170" s="97"/>
      <c r="C170" s="54"/>
      <c r="D170" s="55"/>
      <c r="E170" s="55"/>
      <c r="F170" s="55"/>
      <c r="G170" s="56"/>
      <c r="H170" s="133"/>
      <c r="I170" s="134"/>
      <c r="J170" s="134"/>
      <c r="K170" s="55"/>
      <c r="L170" s="55"/>
      <c r="M170" s="54"/>
    </row>
    <row r="171" spans="2:13" ht="49.5" customHeight="1" x14ac:dyDescent="0.3">
      <c r="B171" s="97"/>
      <c r="C171" s="54"/>
      <c r="D171" s="55"/>
      <c r="E171" s="55"/>
      <c r="F171" s="55"/>
      <c r="G171" s="56"/>
      <c r="H171" s="133"/>
      <c r="I171" s="134"/>
      <c r="J171" s="134"/>
      <c r="K171" s="55"/>
      <c r="L171" s="55"/>
      <c r="M171" s="54"/>
    </row>
    <row r="172" spans="2:13" ht="49.5" customHeight="1" x14ac:dyDescent="0.3">
      <c r="B172" s="97"/>
      <c r="C172" s="54"/>
      <c r="D172" s="55"/>
      <c r="E172" s="55"/>
      <c r="F172" s="55"/>
      <c r="G172" s="56"/>
      <c r="H172" s="133"/>
      <c r="I172" s="134"/>
      <c r="J172" s="134"/>
      <c r="K172" s="55"/>
      <c r="L172" s="55"/>
      <c r="M172" s="54"/>
    </row>
    <row r="173" spans="2:13" ht="49.5" customHeight="1" x14ac:dyDescent="0.3">
      <c r="B173" s="97"/>
      <c r="C173" s="54"/>
      <c r="D173" s="55"/>
      <c r="E173" s="55"/>
      <c r="F173" s="55"/>
      <c r="G173" s="56"/>
      <c r="H173" s="133"/>
      <c r="I173" s="134"/>
      <c r="J173" s="134"/>
      <c r="K173" s="55"/>
      <c r="L173" s="55"/>
      <c r="M173" s="54"/>
    </row>
    <row r="174" spans="2:13" ht="49.5" customHeight="1" x14ac:dyDescent="0.3">
      <c r="B174" s="97"/>
      <c r="C174" s="54"/>
      <c r="D174" s="55"/>
      <c r="E174" s="55"/>
      <c r="F174" s="55"/>
      <c r="G174" s="56"/>
      <c r="H174" s="133"/>
      <c r="I174" s="134"/>
      <c r="J174" s="134"/>
      <c r="K174" s="55"/>
      <c r="L174" s="55"/>
      <c r="M174" s="54"/>
    </row>
    <row r="175" spans="2:13" ht="49.5" customHeight="1" x14ac:dyDescent="0.3">
      <c r="B175" s="97"/>
      <c r="C175" s="54"/>
      <c r="D175" s="55"/>
      <c r="E175" s="55"/>
      <c r="F175" s="55"/>
      <c r="G175" s="56"/>
      <c r="H175" s="133"/>
      <c r="I175" s="134"/>
      <c r="J175" s="134"/>
      <c r="K175" s="55"/>
      <c r="L175" s="55"/>
      <c r="M175" s="54"/>
    </row>
    <row r="176" spans="2:13" ht="49.5" customHeight="1" x14ac:dyDescent="0.3">
      <c r="B176" s="97"/>
      <c r="C176" s="54"/>
      <c r="D176" s="55"/>
      <c r="E176" s="55"/>
      <c r="F176" s="55"/>
      <c r="G176" s="56"/>
      <c r="H176" s="133"/>
      <c r="I176" s="134"/>
      <c r="J176" s="134"/>
      <c r="K176" s="55"/>
      <c r="L176" s="55"/>
      <c r="M176" s="54"/>
    </row>
    <row r="177" spans="2:13" ht="49.5" customHeight="1" x14ac:dyDescent="0.3">
      <c r="B177" s="97"/>
      <c r="C177" s="54"/>
      <c r="D177" s="55"/>
      <c r="E177" s="55"/>
      <c r="F177" s="55"/>
      <c r="G177" s="56"/>
      <c r="H177" s="133"/>
      <c r="I177" s="134"/>
      <c r="J177" s="134"/>
      <c r="K177" s="55"/>
      <c r="L177" s="55"/>
      <c r="M177" s="54"/>
    </row>
    <row r="178" spans="2:13" ht="49.5" customHeight="1" x14ac:dyDescent="0.3">
      <c r="B178" s="97"/>
      <c r="C178" s="54"/>
      <c r="D178" s="55"/>
      <c r="E178" s="55"/>
      <c r="F178" s="55"/>
      <c r="G178" s="56"/>
      <c r="H178" s="133"/>
      <c r="I178" s="134"/>
      <c r="J178" s="134"/>
      <c r="K178" s="55"/>
      <c r="L178" s="55"/>
      <c r="M178" s="54"/>
    </row>
    <row r="179" spans="2:13" ht="49.5" customHeight="1" x14ac:dyDescent="0.3">
      <c r="B179" s="97"/>
      <c r="C179" s="54"/>
      <c r="D179" s="55"/>
      <c r="E179" s="55"/>
      <c r="F179" s="55"/>
      <c r="G179" s="56"/>
      <c r="H179" s="133"/>
      <c r="I179" s="134"/>
      <c r="J179" s="134"/>
      <c r="K179" s="55"/>
      <c r="L179" s="55"/>
      <c r="M179" s="54"/>
    </row>
    <row r="180" spans="2:13" ht="49.5" customHeight="1" x14ac:dyDescent="0.3">
      <c r="B180" s="97"/>
      <c r="C180" s="54"/>
      <c r="D180" s="55"/>
      <c r="E180" s="55"/>
      <c r="F180" s="55"/>
      <c r="G180" s="56"/>
      <c r="H180" s="133"/>
      <c r="I180" s="134"/>
      <c r="J180" s="134"/>
      <c r="K180" s="55"/>
      <c r="L180" s="55"/>
      <c r="M180" s="54"/>
    </row>
    <row r="181" spans="2:13" ht="49.5" customHeight="1" x14ac:dyDescent="0.3">
      <c r="B181" s="97"/>
      <c r="C181" s="54"/>
      <c r="D181" s="55"/>
      <c r="E181" s="55"/>
      <c r="F181" s="55"/>
      <c r="G181" s="56"/>
      <c r="H181" s="133"/>
      <c r="I181" s="134"/>
      <c r="J181" s="134"/>
      <c r="K181" s="55"/>
      <c r="L181" s="55"/>
      <c r="M181" s="54"/>
    </row>
    <row r="182" spans="2:13" ht="49.5" customHeight="1" x14ac:dyDescent="0.3">
      <c r="B182" s="97"/>
      <c r="C182" s="54"/>
      <c r="D182" s="55"/>
      <c r="E182" s="55"/>
      <c r="F182" s="55"/>
      <c r="G182" s="56"/>
      <c r="H182" s="133"/>
      <c r="I182" s="134"/>
      <c r="J182" s="134"/>
      <c r="K182" s="55"/>
      <c r="L182" s="55"/>
      <c r="M182" s="54"/>
    </row>
    <row r="183" spans="2:13" ht="49.5" customHeight="1" x14ac:dyDescent="0.3">
      <c r="B183" s="97"/>
      <c r="C183" s="54"/>
      <c r="D183" s="55"/>
      <c r="E183" s="55"/>
      <c r="F183" s="55"/>
      <c r="G183" s="56"/>
      <c r="H183" s="133"/>
      <c r="I183" s="134"/>
      <c r="J183" s="134"/>
      <c r="K183" s="55"/>
      <c r="L183" s="55"/>
      <c r="M183" s="54"/>
    </row>
    <row r="184" spans="2:13" ht="49.5" customHeight="1" x14ac:dyDescent="0.3">
      <c r="B184" s="97"/>
      <c r="C184" s="54"/>
      <c r="D184" s="55"/>
      <c r="E184" s="55"/>
      <c r="F184" s="55"/>
      <c r="G184" s="56"/>
      <c r="H184" s="133"/>
      <c r="I184" s="134"/>
      <c r="J184" s="134"/>
      <c r="K184" s="55"/>
      <c r="L184" s="55"/>
      <c r="M184" s="54"/>
    </row>
    <row r="185" spans="2:13" ht="49.5" customHeight="1" x14ac:dyDescent="0.3">
      <c r="B185" s="97"/>
      <c r="C185" s="54"/>
      <c r="D185" s="55"/>
      <c r="E185" s="55"/>
      <c r="F185" s="55"/>
      <c r="G185" s="56"/>
      <c r="H185" s="133"/>
      <c r="I185" s="134"/>
      <c r="J185" s="134"/>
      <c r="K185" s="55"/>
      <c r="L185" s="55"/>
      <c r="M185" s="54"/>
    </row>
    <row r="186" spans="2:13" ht="49.5" customHeight="1" x14ac:dyDescent="0.3">
      <c r="B186" s="97"/>
      <c r="C186" s="54"/>
      <c r="D186" s="55"/>
      <c r="E186" s="55"/>
      <c r="F186" s="55"/>
      <c r="G186" s="56"/>
      <c r="H186" s="133"/>
      <c r="I186" s="134"/>
      <c r="J186" s="134"/>
      <c r="K186" s="55"/>
      <c r="L186" s="55"/>
      <c r="M186" s="54"/>
    </row>
    <row r="187" spans="2:13" ht="49.5" customHeight="1" x14ac:dyDescent="0.3">
      <c r="B187" s="97"/>
      <c r="C187" s="54"/>
      <c r="D187" s="55"/>
      <c r="E187" s="55"/>
      <c r="F187" s="55"/>
      <c r="G187" s="56"/>
      <c r="H187" s="133"/>
      <c r="I187" s="134"/>
      <c r="J187" s="134"/>
      <c r="K187" s="55"/>
      <c r="L187" s="55"/>
      <c r="M187" s="54"/>
    </row>
    <row r="188" spans="2:13" ht="49.5" customHeight="1" x14ac:dyDescent="0.3">
      <c r="B188" s="97"/>
      <c r="C188" s="54"/>
      <c r="D188" s="55"/>
      <c r="E188" s="55"/>
      <c r="F188" s="55"/>
      <c r="G188" s="56"/>
      <c r="H188" s="133"/>
      <c r="I188" s="134"/>
      <c r="J188" s="134"/>
      <c r="K188" s="55"/>
      <c r="L188" s="55"/>
      <c r="M188" s="54"/>
    </row>
    <row r="189" spans="2:13" ht="49.5" customHeight="1" x14ac:dyDescent="0.3">
      <c r="B189" s="97"/>
      <c r="C189" s="54"/>
      <c r="D189" s="55"/>
      <c r="E189" s="55"/>
      <c r="F189" s="55"/>
      <c r="G189" s="56"/>
      <c r="H189" s="133"/>
      <c r="I189" s="134"/>
      <c r="J189" s="134"/>
      <c r="K189" s="55"/>
      <c r="L189" s="55"/>
      <c r="M189" s="54"/>
    </row>
    <row r="190" spans="2:13" ht="49.5" customHeight="1" x14ac:dyDescent="0.3">
      <c r="B190" s="97"/>
      <c r="C190" s="54"/>
      <c r="D190" s="55"/>
      <c r="E190" s="55"/>
      <c r="F190" s="55"/>
      <c r="G190" s="56"/>
      <c r="H190" s="133"/>
      <c r="I190" s="134"/>
      <c r="J190" s="134"/>
      <c r="K190" s="55"/>
      <c r="L190" s="55"/>
      <c r="M190" s="54"/>
    </row>
    <row r="191" spans="2:13" ht="49.5" customHeight="1" x14ac:dyDescent="0.3">
      <c r="B191" s="97"/>
      <c r="C191" s="54"/>
      <c r="D191" s="55"/>
      <c r="E191" s="55"/>
      <c r="F191" s="55"/>
      <c r="G191" s="56"/>
      <c r="H191" s="133"/>
      <c r="I191" s="134"/>
      <c r="J191" s="134"/>
      <c r="K191" s="55"/>
      <c r="L191" s="55"/>
      <c r="M191" s="54"/>
    </row>
    <row r="192" spans="2:13" ht="49.5" customHeight="1" x14ac:dyDescent="0.3">
      <c r="B192" s="97"/>
      <c r="C192" s="54"/>
      <c r="D192" s="55"/>
      <c r="E192" s="55"/>
      <c r="F192" s="55"/>
      <c r="G192" s="56"/>
      <c r="H192" s="133"/>
      <c r="I192" s="134"/>
      <c r="J192" s="134"/>
      <c r="K192" s="55"/>
      <c r="L192" s="55"/>
      <c r="M192" s="54"/>
    </row>
    <row r="193" spans="2:13" ht="49.5" customHeight="1" x14ac:dyDescent="0.3">
      <c r="B193" s="97"/>
      <c r="C193" s="54"/>
      <c r="D193" s="55"/>
      <c r="E193" s="55"/>
      <c r="F193" s="55"/>
      <c r="G193" s="56"/>
      <c r="H193" s="133"/>
      <c r="I193" s="134"/>
      <c r="J193" s="134"/>
      <c r="K193" s="55"/>
      <c r="L193" s="55"/>
      <c r="M193" s="54"/>
    </row>
    <row r="194" spans="2:13" ht="49.5" customHeight="1" x14ac:dyDescent="0.3">
      <c r="B194" s="97"/>
      <c r="C194" s="54"/>
      <c r="D194" s="55"/>
      <c r="E194" s="55"/>
      <c r="F194" s="55"/>
      <c r="G194" s="56"/>
      <c r="H194" s="133"/>
      <c r="I194" s="134"/>
      <c r="J194" s="134"/>
      <c r="K194" s="55"/>
      <c r="L194" s="55"/>
      <c r="M194" s="54"/>
    </row>
    <row r="195" spans="2:13" ht="49.5" customHeight="1" x14ac:dyDescent="0.3">
      <c r="B195" s="97"/>
      <c r="C195" s="54"/>
      <c r="D195" s="55"/>
      <c r="E195" s="55"/>
      <c r="F195" s="55"/>
      <c r="G195" s="56"/>
      <c r="H195" s="133"/>
      <c r="I195" s="134"/>
      <c r="J195" s="134"/>
      <c r="K195" s="55"/>
      <c r="L195" s="55"/>
      <c r="M195" s="54"/>
    </row>
    <row r="196" spans="2:13" ht="49.5" customHeight="1" x14ac:dyDescent="0.3">
      <c r="B196" s="97"/>
      <c r="C196" s="54"/>
      <c r="D196" s="55"/>
      <c r="E196" s="55"/>
      <c r="F196" s="55"/>
      <c r="G196" s="56"/>
      <c r="H196" s="133"/>
      <c r="I196" s="134"/>
      <c r="J196" s="134"/>
      <c r="K196" s="55"/>
      <c r="L196" s="55"/>
      <c r="M196" s="54"/>
    </row>
    <row r="197" spans="2:13" ht="49.5" customHeight="1" x14ac:dyDescent="0.3">
      <c r="B197" s="97"/>
      <c r="C197" s="54"/>
      <c r="D197" s="55"/>
      <c r="E197" s="55"/>
      <c r="F197" s="55"/>
      <c r="G197" s="56"/>
      <c r="H197" s="133"/>
      <c r="I197" s="134"/>
      <c r="J197" s="134"/>
      <c r="K197" s="55"/>
      <c r="L197" s="55"/>
      <c r="M197" s="54"/>
    </row>
    <row r="198" spans="2:13" ht="49.5" customHeight="1" x14ac:dyDescent="0.3">
      <c r="B198" s="97"/>
      <c r="C198" s="54"/>
      <c r="D198" s="55"/>
      <c r="E198" s="55"/>
      <c r="F198" s="55"/>
      <c r="G198" s="56"/>
      <c r="H198" s="133"/>
      <c r="I198" s="134"/>
      <c r="J198" s="134"/>
      <c r="K198" s="55"/>
      <c r="L198" s="55"/>
      <c r="M198" s="54"/>
    </row>
    <row r="199" spans="2:13" ht="49.5" customHeight="1" x14ac:dyDescent="0.3">
      <c r="B199" s="97"/>
      <c r="C199" s="54"/>
      <c r="D199" s="55"/>
      <c r="E199" s="55"/>
      <c r="F199" s="55"/>
      <c r="G199" s="56"/>
      <c r="H199" s="133"/>
      <c r="I199" s="134"/>
      <c r="J199" s="134"/>
      <c r="K199" s="55"/>
      <c r="L199" s="55"/>
      <c r="M199" s="54"/>
    </row>
    <row r="200" spans="2:13" ht="49.5" customHeight="1" x14ac:dyDescent="0.3">
      <c r="B200" s="97"/>
      <c r="C200" s="54"/>
      <c r="D200" s="55"/>
      <c r="E200" s="55"/>
      <c r="F200" s="55"/>
      <c r="G200" s="56"/>
      <c r="H200" s="133"/>
      <c r="I200" s="134"/>
      <c r="J200" s="134"/>
      <c r="K200" s="55"/>
      <c r="L200" s="55"/>
      <c r="M200" s="54"/>
    </row>
    <row r="201" spans="2:13" ht="49.5" customHeight="1" x14ac:dyDescent="0.3">
      <c r="B201" s="97"/>
      <c r="C201" s="54"/>
      <c r="D201" s="55"/>
      <c r="E201" s="55"/>
      <c r="F201" s="55"/>
      <c r="G201" s="56"/>
      <c r="H201" s="133"/>
      <c r="I201" s="134"/>
      <c r="J201" s="134"/>
      <c r="K201" s="55"/>
      <c r="L201" s="55"/>
      <c r="M201" s="54"/>
    </row>
    <row r="202" spans="2:13" ht="49.5" customHeight="1" x14ac:dyDescent="0.3">
      <c r="B202" s="97"/>
      <c r="C202" s="54"/>
      <c r="D202" s="55"/>
      <c r="E202" s="55"/>
      <c r="F202" s="55"/>
      <c r="G202" s="56"/>
      <c r="H202" s="133"/>
      <c r="I202" s="134"/>
      <c r="J202" s="134"/>
      <c r="K202" s="55"/>
      <c r="L202" s="55"/>
      <c r="M202" s="54"/>
    </row>
    <row r="203" spans="2:13" ht="49.5" customHeight="1" x14ac:dyDescent="0.3">
      <c r="B203" s="97"/>
      <c r="C203" s="54"/>
      <c r="D203" s="55"/>
      <c r="E203" s="55"/>
      <c r="F203" s="55"/>
      <c r="G203" s="56"/>
      <c r="H203" s="133"/>
      <c r="I203" s="134"/>
      <c r="J203" s="134"/>
      <c r="K203" s="55"/>
      <c r="L203" s="55"/>
      <c r="M203" s="54"/>
    </row>
    <row r="204" spans="2:13" ht="49.5" customHeight="1" x14ac:dyDescent="0.3">
      <c r="B204" s="97"/>
      <c r="C204" s="54"/>
      <c r="D204" s="55"/>
      <c r="E204" s="55"/>
      <c r="F204" s="55"/>
      <c r="G204" s="56"/>
      <c r="H204" s="133"/>
      <c r="I204" s="134"/>
      <c r="J204" s="134"/>
      <c r="K204" s="55"/>
      <c r="L204" s="55"/>
      <c r="M204" s="54"/>
    </row>
    <row r="205" spans="2:13" ht="49.5" customHeight="1" x14ac:dyDescent="0.3">
      <c r="B205" s="97"/>
      <c r="C205" s="54"/>
      <c r="D205" s="55"/>
      <c r="E205" s="55"/>
      <c r="F205" s="55"/>
      <c r="G205" s="56"/>
      <c r="H205" s="133"/>
      <c r="I205" s="134"/>
      <c r="J205" s="134"/>
      <c r="K205" s="55"/>
      <c r="L205" s="55"/>
      <c r="M205" s="54"/>
    </row>
    <row r="206" spans="2:13" ht="49.5" customHeight="1" x14ac:dyDescent="0.3">
      <c r="B206" s="97"/>
      <c r="C206" s="54"/>
      <c r="D206" s="55"/>
      <c r="E206" s="55"/>
      <c r="F206" s="55"/>
      <c r="G206" s="56"/>
      <c r="H206" s="133"/>
      <c r="I206" s="134"/>
      <c r="J206" s="134"/>
      <c r="K206" s="55"/>
      <c r="L206" s="55"/>
      <c r="M206" s="54"/>
    </row>
    <row r="207" spans="2:13" ht="49.5" customHeight="1" x14ac:dyDescent="0.3">
      <c r="B207" s="97"/>
      <c r="C207" s="54"/>
      <c r="D207" s="55"/>
      <c r="E207" s="55"/>
      <c r="F207" s="55"/>
      <c r="G207" s="56"/>
      <c r="H207" s="133"/>
      <c r="I207" s="134"/>
      <c r="J207" s="134"/>
      <c r="K207" s="55"/>
      <c r="L207" s="55"/>
      <c r="M207" s="54"/>
    </row>
    <row r="208" spans="2:13" ht="49.5" customHeight="1" x14ac:dyDescent="0.3">
      <c r="B208" s="97"/>
      <c r="C208" s="54"/>
      <c r="D208" s="55"/>
      <c r="E208" s="55"/>
      <c r="F208" s="55"/>
      <c r="G208" s="56"/>
      <c r="H208" s="133"/>
      <c r="I208" s="134"/>
      <c r="J208" s="134"/>
      <c r="K208" s="55"/>
      <c r="L208" s="55"/>
      <c r="M208" s="54"/>
    </row>
    <row r="209" spans="2:13" ht="49.5" customHeight="1" x14ac:dyDescent="0.3">
      <c r="B209" s="97"/>
      <c r="C209" s="54"/>
      <c r="D209" s="55"/>
      <c r="E209" s="55"/>
      <c r="F209" s="55"/>
      <c r="G209" s="56"/>
      <c r="H209" s="133"/>
      <c r="I209" s="134"/>
      <c r="J209" s="134"/>
      <c r="K209" s="55"/>
      <c r="L209" s="55"/>
      <c r="M209" s="54"/>
    </row>
    <row r="210" spans="2:13" ht="49.5" customHeight="1" x14ac:dyDescent="0.3">
      <c r="B210" s="97"/>
      <c r="C210" s="54"/>
      <c r="D210" s="55"/>
      <c r="E210" s="55"/>
      <c r="F210" s="55"/>
      <c r="G210" s="56"/>
      <c r="H210" s="133"/>
      <c r="I210" s="134"/>
      <c r="J210" s="134"/>
      <c r="K210" s="55"/>
      <c r="L210" s="55"/>
      <c r="M210" s="54"/>
    </row>
    <row r="211" spans="2:13" ht="49.5" customHeight="1" x14ac:dyDescent="0.3">
      <c r="B211" s="97"/>
      <c r="C211" s="54"/>
      <c r="D211" s="55"/>
      <c r="E211" s="55"/>
      <c r="F211" s="55"/>
      <c r="G211" s="56"/>
      <c r="H211" s="133"/>
      <c r="I211" s="134"/>
      <c r="J211" s="134"/>
      <c r="K211" s="55"/>
      <c r="L211" s="55"/>
      <c r="M211" s="54"/>
    </row>
    <row r="212" spans="2:13" ht="49.5" customHeight="1" x14ac:dyDescent="0.3">
      <c r="B212" s="97"/>
      <c r="C212" s="54"/>
      <c r="D212" s="55"/>
      <c r="E212" s="55"/>
      <c r="F212" s="55"/>
      <c r="G212" s="56"/>
      <c r="H212" s="133"/>
      <c r="I212" s="134"/>
      <c r="J212" s="134"/>
      <c r="K212" s="55"/>
      <c r="L212" s="55"/>
      <c r="M212" s="54"/>
    </row>
    <row r="213" spans="2:13" ht="49.5" customHeight="1" x14ac:dyDescent="0.3">
      <c r="B213" s="97"/>
      <c r="C213" s="54"/>
      <c r="D213" s="55"/>
      <c r="E213" s="55"/>
      <c r="F213" s="55"/>
      <c r="G213" s="56"/>
      <c r="H213" s="133"/>
      <c r="I213" s="134"/>
      <c r="J213" s="134"/>
      <c r="K213" s="55"/>
      <c r="L213" s="55"/>
      <c r="M213" s="54"/>
    </row>
    <row r="214" spans="2:13" ht="49.5" customHeight="1" x14ac:dyDescent="0.3">
      <c r="B214" s="97"/>
      <c r="C214" s="54"/>
      <c r="D214" s="55"/>
      <c r="E214" s="55"/>
      <c r="F214" s="55"/>
      <c r="G214" s="56"/>
      <c r="H214" s="133"/>
      <c r="I214" s="134"/>
      <c r="J214" s="134"/>
      <c r="K214" s="55"/>
      <c r="L214" s="55"/>
      <c r="M214" s="54"/>
    </row>
    <row r="215" spans="2:13" ht="49.5" customHeight="1" x14ac:dyDescent="0.3">
      <c r="B215" s="97"/>
      <c r="C215" s="54"/>
      <c r="D215" s="55"/>
      <c r="E215" s="55"/>
      <c r="F215" s="55"/>
      <c r="G215" s="56"/>
      <c r="H215" s="133"/>
      <c r="I215" s="134"/>
      <c r="J215" s="134"/>
      <c r="K215" s="55"/>
      <c r="L215" s="55"/>
      <c r="M215" s="54"/>
    </row>
    <row r="216" spans="2:13" ht="49.5" customHeight="1" x14ac:dyDescent="0.3">
      <c r="B216" s="97"/>
      <c r="C216" s="54"/>
      <c r="D216" s="55"/>
      <c r="E216" s="55"/>
      <c r="F216" s="55"/>
      <c r="G216" s="56"/>
      <c r="H216" s="133"/>
      <c r="I216" s="134"/>
      <c r="J216" s="134"/>
      <c r="K216" s="55"/>
      <c r="L216" s="55"/>
      <c r="M216" s="54"/>
    </row>
    <row r="217" spans="2:13" ht="49.5" customHeight="1" x14ac:dyDescent="0.3">
      <c r="B217" s="97"/>
      <c r="C217" s="54"/>
      <c r="D217" s="55"/>
      <c r="E217" s="55"/>
      <c r="F217" s="55"/>
      <c r="G217" s="56"/>
      <c r="H217" s="133"/>
      <c r="I217" s="134"/>
      <c r="J217" s="134"/>
      <c r="K217" s="55"/>
      <c r="L217" s="55"/>
      <c r="M217" s="54"/>
    </row>
    <row r="218" spans="2:13" ht="49.5" customHeight="1" x14ac:dyDescent="0.3">
      <c r="B218" s="97"/>
      <c r="C218" s="54"/>
      <c r="D218" s="55"/>
      <c r="E218" s="55"/>
      <c r="F218" s="55"/>
      <c r="G218" s="56"/>
      <c r="H218" s="133"/>
      <c r="I218" s="134"/>
      <c r="J218" s="134"/>
      <c r="K218" s="55"/>
      <c r="L218" s="55"/>
      <c r="M218" s="54"/>
    </row>
    <row r="219" spans="2:13" ht="49.5" customHeight="1" x14ac:dyDescent="0.3">
      <c r="B219" s="97"/>
      <c r="C219" s="54"/>
      <c r="D219" s="55"/>
      <c r="E219" s="55"/>
      <c r="F219" s="55"/>
      <c r="G219" s="56"/>
      <c r="H219" s="133"/>
      <c r="I219" s="134"/>
      <c r="J219" s="134"/>
      <c r="K219" s="55"/>
      <c r="L219" s="55"/>
      <c r="M219" s="54"/>
    </row>
    <row r="220" spans="2:13" ht="49.5" customHeight="1" x14ac:dyDescent="0.3">
      <c r="B220" s="97"/>
      <c r="C220" s="54"/>
      <c r="D220" s="55"/>
      <c r="E220" s="55"/>
      <c r="F220" s="55"/>
      <c r="G220" s="56"/>
      <c r="H220" s="133"/>
      <c r="I220" s="134"/>
      <c r="J220" s="134"/>
      <c r="K220" s="55"/>
      <c r="L220" s="55"/>
      <c r="M220" s="54"/>
    </row>
    <row r="221" spans="2:13" ht="49.5" customHeight="1" x14ac:dyDescent="0.3">
      <c r="B221" s="97"/>
      <c r="C221" s="54"/>
      <c r="D221" s="55"/>
      <c r="E221" s="55"/>
      <c r="F221" s="55"/>
      <c r="G221" s="56"/>
      <c r="H221" s="133"/>
      <c r="I221" s="134"/>
      <c r="J221" s="134"/>
      <c r="K221" s="55"/>
      <c r="L221" s="55"/>
      <c r="M221" s="54"/>
    </row>
    <row r="222" spans="2:13" ht="49.5" customHeight="1" x14ac:dyDescent="0.3">
      <c r="B222" s="97"/>
      <c r="C222" s="54"/>
      <c r="D222" s="55"/>
      <c r="E222" s="55"/>
      <c r="F222" s="55"/>
      <c r="G222" s="56"/>
      <c r="H222" s="133"/>
      <c r="I222" s="134"/>
      <c r="J222" s="134"/>
      <c r="K222" s="55"/>
      <c r="L222" s="55"/>
      <c r="M222" s="54"/>
    </row>
    <row r="223" spans="2:13" ht="49.5" customHeight="1" x14ac:dyDescent="0.3">
      <c r="B223" s="97"/>
      <c r="C223" s="54"/>
      <c r="D223" s="55"/>
      <c r="E223" s="55"/>
      <c r="F223" s="55"/>
      <c r="G223" s="56"/>
      <c r="H223" s="133"/>
      <c r="I223" s="134"/>
      <c r="J223" s="134"/>
      <c r="K223" s="55"/>
      <c r="L223" s="55"/>
      <c r="M223" s="54"/>
    </row>
    <row r="224" spans="2:13" ht="49.5" customHeight="1" x14ac:dyDescent="0.3">
      <c r="B224" s="97"/>
      <c r="C224" s="54"/>
      <c r="D224" s="55"/>
      <c r="E224" s="55"/>
      <c r="F224" s="55"/>
      <c r="G224" s="56"/>
      <c r="H224" s="133"/>
      <c r="I224" s="134"/>
      <c r="J224" s="134"/>
      <c r="K224" s="55"/>
      <c r="L224" s="55"/>
      <c r="M224" s="54"/>
    </row>
    <row r="225" spans="2:13" ht="49.5" customHeight="1" x14ac:dyDescent="0.3">
      <c r="B225" s="97"/>
      <c r="C225" s="54"/>
      <c r="D225" s="55"/>
      <c r="E225" s="55"/>
      <c r="F225" s="55"/>
      <c r="G225" s="56"/>
      <c r="H225" s="133"/>
      <c r="I225" s="134"/>
      <c r="J225" s="134"/>
      <c r="K225" s="55"/>
      <c r="L225" s="55"/>
      <c r="M225" s="54"/>
    </row>
    <row r="226" spans="2:13" ht="49.5" customHeight="1" x14ac:dyDescent="0.3">
      <c r="B226" s="97"/>
      <c r="C226" s="54"/>
      <c r="D226" s="55"/>
      <c r="E226" s="55"/>
      <c r="F226" s="55"/>
      <c r="G226" s="56"/>
      <c r="H226" s="133"/>
      <c r="I226" s="134"/>
      <c r="J226" s="134"/>
      <c r="K226" s="55"/>
      <c r="L226" s="55"/>
      <c r="M226" s="54"/>
    </row>
    <row r="227" spans="2:13" ht="49.5" customHeight="1" x14ac:dyDescent="0.3">
      <c r="B227" s="97"/>
      <c r="C227" s="54"/>
      <c r="D227" s="55"/>
      <c r="E227" s="55"/>
      <c r="F227" s="55"/>
      <c r="G227" s="56"/>
      <c r="H227" s="133"/>
      <c r="I227" s="134"/>
      <c r="J227" s="134"/>
      <c r="K227" s="55"/>
      <c r="L227" s="55"/>
      <c r="M227" s="54"/>
    </row>
    <row r="228" spans="2:13" ht="49.5" customHeight="1" x14ac:dyDescent="0.3">
      <c r="B228" s="97"/>
      <c r="C228" s="54"/>
      <c r="D228" s="55"/>
      <c r="E228" s="55"/>
      <c r="F228" s="55"/>
      <c r="G228" s="56"/>
      <c r="H228" s="133"/>
      <c r="I228" s="134"/>
      <c r="J228" s="134"/>
      <c r="K228" s="55"/>
      <c r="L228" s="55"/>
      <c r="M228" s="54"/>
    </row>
    <row r="229" spans="2:13" ht="49.5" customHeight="1" x14ac:dyDescent="0.3">
      <c r="B229" s="97"/>
      <c r="C229" s="54"/>
      <c r="D229" s="55"/>
      <c r="E229" s="55"/>
      <c r="F229" s="55"/>
      <c r="G229" s="56"/>
      <c r="H229" s="133"/>
      <c r="I229" s="134"/>
      <c r="J229" s="134"/>
      <c r="K229" s="55"/>
      <c r="L229" s="55"/>
      <c r="M229" s="54"/>
    </row>
    <row r="230" spans="2:13" ht="49.5" customHeight="1" x14ac:dyDescent="0.3">
      <c r="B230" s="97"/>
      <c r="C230" s="54"/>
      <c r="D230" s="55"/>
      <c r="E230" s="55"/>
      <c r="F230" s="55"/>
      <c r="G230" s="56"/>
      <c r="H230" s="133"/>
      <c r="I230" s="134"/>
      <c r="J230" s="134"/>
      <c r="K230" s="55"/>
      <c r="L230" s="55"/>
      <c r="M230" s="54"/>
    </row>
    <row r="231" spans="2:13" ht="49.5" customHeight="1" x14ac:dyDescent="0.3">
      <c r="B231" s="97"/>
      <c r="C231" s="54"/>
      <c r="D231" s="55"/>
      <c r="E231" s="55"/>
      <c r="F231" s="55"/>
      <c r="G231" s="56"/>
      <c r="H231" s="133"/>
      <c r="I231" s="134"/>
      <c r="J231" s="134"/>
      <c r="K231" s="55"/>
      <c r="L231" s="55"/>
      <c r="M231" s="54"/>
    </row>
    <row r="232" spans="2:13" ht="49.5" customHeight="1" x14ac:dyDescent="0.3">
      <c r="B232" s="97"/>
      <c r="C232" s="54"/>
      <c r="D232" s="55"/>
      <c r="E232" s="55"/>
      <c r="F232" s="55"/>
      <c r="G232" s="56"/>
      <c r="H232" s="133"/>
      <c r="I232" s="134"/>
      <c r="J232" s="134"/>
      <c r="K232" s="55"/>
      <c r="L232" s="55"/>
      <c r="M232" s="54"/>
    </row>
    <row r="233" spans="2:13" ht="49.5" customHeight="1" x14ac:dyDescent="0.3">
      <c r="B233" s="97"/>
      <c r="C233" s="54"/>
      <c r="D233" s="55"/>
      <c r="E233" s="55"/>
      <c r="F233" s="55"/>
      <c r="G233" s="56"/>
      <c r="H233" s="133"/>
      <c r="I233" s="134"/>
      <c r="J233" s="134"/>
      <c r="K233" s="55"/>
      <c r="L233" s="55"/>
      <c r="M233" s="54"/>
    </row>
    <row r="234" spans="2:13" ht="49.5" customHeight="1" x14ac:dyDescent="0.3">
      <c r="B234" s="97"/>
      <c r="C234" s="54"/>
      <c r="D234" s="55"/>
      <c r="E234" s="55"/>
      <c r="F234" s="55"/>
      <c r="G234" s="56"/>
      <c r="H234" s="133"/>
      <c r="I234" s="134"/>
      <c r="J234" s="134"/>
      <c r="K234" s="55"/>
      <c r="L234" s="55"/>
      <c r="M234" s="54"/>
    </row>
    <row r="235" spans="2:13" ht="49.5" customHeight="1" x14ac:dyDescent="0.3">
      <c r="B235" s="97"/>
      <c r="C235" s="54"/>
      <c r="D235" s="55"/>
      <c r="E235" s="55"/>
      <c r="F235" s="55"/>
      <c r="G235" s="56"/>
      <c r="H235" s="133"/>
      <c r="I235" s="134"/>
      <c r="J235" s="134"/>
      <c r="K235" s="55"/>
      <c r="L235" s="55"/>
      <c r="M235" s="54"/>
    </row>
    <row r="236" spans="2:13" ht="49.5" customHeight="1" x14ac:dyDescent="0.3">
      <c r="B236" s="97"/>
      <c r="C236" s="54"/>
      <c r="D236" s="55"/>
      <c r="E236" s="55"/>
      <c r="F236" s="55"/>
      <c r="G236" s="56"/>
      <c r="H236" s="133"/>
      <c r="I236" s="134"/>
      <c r="J236" s="134"/>
      <c r="K236" s="55"/>
      <c r="L236" s="55"/>
      <c r="M236" s="54"/>
    </row>
    <row r="237" spans="2:13" ht="49.5" customHeight="1" x14ac:dyDescent="0.3">
      <c r="B237" s="97"/>
      <c r="C237" s="54"/>
      <c r="D237" s="55"/>
      <c r="E237" s="55"/>
      <c r="F237" s="55"/>
      <c r="G237" s="56"/>
      <c r="H237" s="133"/>
      <c r="I237" s="134"/>
      <c r="J237" s="134"/>
      <c r="K237" s="55"/>
      <c r="L237" s="55"/>
      <c r="M237" s="54"/>
    </row>
    <row r="238" spans="2:13" ht="49.5" customHeight="1" x14ac:dyDescent="0.3">
      <c r="B238" s="97"/>
      <c r="C238" s="54"/>
      <c r="D238" s="55"/>
      <c r="E238" s="55"/>
      <c r="F238" s="55"/>
      <c r="G238" s="56"/>
      <c r="H238" s="133"/>
      <c r="I238" s="134"/>
      <c r="J238" s="134"/>
      <c r="K238" s="55"/>
      <c r="L238" s="55"/>
      <c r="M238" s="54"/>
    </row>
    <row r="239" spans="2:13" ht="49.5" customHeight="1" x14ac:dyDescent="0.3">
      <c r="B239" s="97"/>
      <c r="C239" s="54"/>
      <c r="D239" s="55"/>
      <c r="E239" s="55"/>
      <c r="F239" s="55"/>
      <c r="G239" s="56"/>
      <c r="H239" s="133"/>
      <c r="I239" s="134"/>
      <c r="J239" s="134"/>
      <c r="K239" s="55"/>
      <c r="L239" s="55"/>
      <c r="M239" s="54"/>
    </row>
    <row r="240" spans="2:13" ht="49.5" customHeight="1" x14ac:dyDescent="0.3">
      <c r="B240" s="97"/>
      <c r="C240" s="54"/>
      <c r="D240" s="55"/>
      <c r="E240" s="55"/>
      <c r="F240" s="55"/>
      <c r="G240" s="56"/>
      <c r="H240" s="133"/>
      <c r="I240" s="134"/>
      <c r="J240" s="134"/>
      <c r="K240" s="55"/>
      <c r="L240" s="55"/>
      <c r="M240" s="54"/>
    </row>
    <row r="241" spans="2:13" ht="49.5" customHeight="1" x14ac:dyDescent="0.3">
      <c r="B241" s="97"/>
      <c r="C241" s="54"/>
      <c r="D241" s="55"/>
      <c r="E241" s="55"/>
      <c r="F241" s="55"/>
      <c r="G241" s="56"/>
      <c r="H241" s="133"/>
      <c r="I241" s="134"/>
      <c r="J241" s="134"/>
      <c r="K241" s="55"/>
      <c r="L241" s="55"/>
      <c r="M241" s="54"/>
    </row>
    <row r="242" spans="2:13" ht="49.5" customHeight="1" x14ac:dyDescent="0.3">
      <c r="B242" s="97"/>
      <c r="C242" s="54"/>
      <c r="D242" s="55"/>
      <c r="E242" s="55"/>
      <c r="F242" s="55"/>
      <c r="G242" s="56"/>
      <c r="H242" s="133"/>
      <c r="I242" s="134"/>
      <c r="J242" s="134"/>
      <c r="K242" s="55"/>
      <c r="L242" s="55"/>
      <c r="M242" s="54"/>
    </row>
    <row r="243" spans="2:13" ht="49.5" customHeight="1" x14ac:dyDescent="0.3">
      <c r="B243" s="97"/>
      <c r="C243" s="54"/>
      <c r="D243" s="55"/>
      <c r="E243" s="55"/>
      <c r="F243" s="55"/>
      <c r="G243" s="56"/>
      <c r="H243" s="133"/>
      <c r="I243" s="134"/>
      <c r="J243" s="134"/>
      <c r="K243" s="55"/>
      <c r="L243" s="55"/>
      <c r="M243" s="54"/>
    </row>
    <row r="244" spans="2:13" ht="49.5" customHeight="1" x14ac:dyDescent="0.3">
      <c r="B244" s="97"/>
      <c r="C244" s="54"/>
      <c r="D244" s="55"/>
      <c r="E244" s="55"/>
      <c r="F244" s="55"/>
      <c r="G244" s="56"/>
      <c r="H244" s="133"/>
      <c r="I244" s="134"/>
      <c r="J244" s="134"/>
      <c r="K244" s="55"/>
      <c r="L244" s="55"/>
      <c r="M244" s="54"/>
    </row>
    <row r="245" spans="2:13" ht="49.5" customHeight="1" x14ac:dyDescent="0.3">
      <c r="B245" s="97"/>
      <c r="C245" s="54"/>
      <c r="D245" s="55"/>
      <c r="E245" s="55"/>
      <c r="F245" s="55"/>
      <c r="G245" s="56"/>
      <c r="H245" s="133"/>
      <c r="I245" s="134"/>
      <c r="J245" s="134"/>
      <c r="K245" s="55"/>
      <c r="L245" s="55"/>
      <c r="M245" s="54"/>
    </row>
    <row r="246" spans="2:13" ht="49.5" customHeight="1" x14ac:dyDescent="0.3">
      <c r="B246" s="97"/>
      <c r="C246" s="54"/>
      <c r="D246" s="55"/>
      <c r="E246" s="55"/>
      <c r="F246" s="55"/>
      <c r="G246" s="56"/>
      <c r="H246" s="133"/>
      <c r="I246" s="134"/>
      <c r="J246" s="134"/>
      <c r="K246" s="55"/>
      <c r="L246" s="55"/>
      <c r="M246" s="54"/>
    </row>
    <row r="247" spans="2:13" ht="49.5" customHeight="1" x14ac:dyDescent="0.3">
      <c r="B247" s="97"/>
      <c r="C247" s="54"/>
      <c r="D247" s="55"/>
      <c r="E247" s="55"/>
      <c r="F247" s="55"/>
      <c r="G247" s="56"/>
      <c r="H247" s="133"/>
      <c r="I247" s="134"/>
      <c r="J247" s="134"/>
      <c r="K247" s="55"/>
      <c r="L247" s="55"/>
      <c r="M247" s="54"/>
    </row>
    <row r="248" spans="2:13" ht="49.5" customHeight="1" x14ac:dyDescent="0.3">
      <c r="B248" s="97"/>
      <c r="C248" s="54"/>
      <c r="D248" s="55"/>
      <c r="E248" s="55"/>
      <c r="F248" s="55"/>
      <c r="G248" s="56"/>
      <c r="H248" s="133"/>
      <c r="I248" s="134"/>
      <c r="J248" s="134"/>
      <c r="K248" s="55"/>
      <c r="L248" s="55"/>
      <c r="M248" s="54"/>
    </row>
    <row r="249" spans="2:13" ht="49.5" customHeight="1" x14ac:dyDescent="0.3">
      <c r="B249" s="97"/>
      <c r="C249" s="54"/>
      <c r="D249" s="55"/>
      <c r="E249" s="55"/>
      <c r="F249" s="55"/>
      <c r="G249" s="56"/>
      <c r="H249" s="133"/>
      <c r="I249" s="134"/>
      <c r="J249" s="134"/>
      <c r="K249" s="55"/>
      <c r="L249" s="55"/>
      <c r="M249" s="54"/>
    </row>
    <row r="250" spans="2:13" ht="49.5" customHeight="1" x14ac:dyDescent="0.3">
      <c r="B250" s="97"/>
      <c r="C250" s="54"/>
      <c r="D250" s="55"/>
      <c r="E250" s="55"/>
      <c r="F250" s="55"/>
      <c r="G250" s="56"/>
      <c r="H250" s="133"/>
      <c r="I250" s="134"/>
      <c r="J250" s="134"/>
      <c r="K250" s="55"/>
      <c r="L250" s="55"/>
      <c r="M250" s="54"/>
    </row>
    <row r="251" spans="2:13" ht="49.5" customHeight="1" x14ac:dyDescent="0.3">
      <c r="B251" s="97"/>
      <c r="C251" s="54"/>
      <c r="D251" s="55"/>
      <c r="E251" s="55"/>
      <c r="F251" s="55"/>
      <c r="G251" s="56"/>
      <c r="H251" s="133"/>
      <c r="I251" s="134"/>
      <c r="J251" s="134"/>
      <c r="K251" s="55"/>
      <c r="L251" s="55"/>
      <c r="M251" s="54"/>
    </row>
    <row r="252" spans="2:13" ht="49.5" customHeight="1" x14ac:dyDescent="0.3">
      <c r="B252" s="97"/>
      <c r="C252" s="54"/>
      <c r="D252" s="55"/>
      <c r="E252" s="55"/>
      <c r="F252" s="55"/>
      <c r="G252" s="56"/>
      <c r="H252" s="133"/>
      <c r="I252" s="134"/>
      <c r="J252" s="134"/>
      <c r="K252" s="55"/>
      <c r="L252" s="55"/>
      <c r="M252" s="54"/>
    </row>
    <row r="253" spans="2:13" ht="49.5" customHeight="1" x14ac:dyDescent="0.3">
      <c r="B253" s="97"/>
      <c r="C253" s="54"/>
      <c r="D253" s="55"/>
      <c r="E253" s="55"/>
      <c r="F253" s="55"/>
      <c r="G253" s="56"/>
      <c r="H253" s="133"/>
      <c r="I253" s="134"/>
      <c r="J253" s="134"/>
      <c r="K253" s="55"/>
      <c r="L253" s="55"/>
      <c r="M253" s="54"/>
    </row>
    <row r="254" spans="2:13" ht="49.5" customHeight="1" x14ac:dyDescent="0.3">
      <c r="B254" s="97"/>
      <c r="C254" s="54"/>
      <c r="D254" s="55"/>
      <c r="E254" s="55"/>
      <c r="F254" s="55"/>
      <c r="G254" s="56"/>
      <c r="H254" s="133"/>
      <c r="I254" s="134"/>
      <c r="J254" s="134"/>
      <c r="K254" s="55"/>
      <c r="L254" s="55"/>
      <c r="M254" s="54"/>
    </row>
    <row r="255" spans="2:13" ht="49.5" customHeight="1" x14ac:dyDescent="0.3">
      <c r="B255" s="97"/>
      <c r="C255" s="54"/>
      <c r="D255" s="55"/>
      <c r="E255" s="55"/>
      <c r="F255" s="55"/>
      <c r="G255" s="56"/>
      <c r="H255" s="133"/>
      <c r="I255" s="134"/>
      <c r="J255" s="134"/>
      <c r="K255" s="55"/>
      <c r="L255" s="55"/>
      <c r="M255" s="54"/>
    </row>
    <row r="256" spans="2:13" ht="49.5" customHeight="1" x14ac:dyDescent="0.3">
      <c r="B256" s="97"/>
      <c r="C256" s="54"/>
      <c r="D256" s="55"/>
      <c r="E256" s="55"/>
      <c r="F256" s="55"/>
      <c r="G256" s="56"/>
      <c r="H256" s="133"/>
      <c r="I256" s="134"/>
      <c r="J256" s="134"/>
      <c r="K256" s="55"/>
      <c r="L256" s="55"/>
      <c r="M256" s="54"/>
    </row>
    <row r="257" spans="2:13" ht="49.5" customHeight="1" x14ac:dyDescent="0.3">
      <c r="B257" s="97"/>
      <c r="C257" s="54"/>
      <c r="D257" s="55"/>
      <c r="E257" s="55"/>
      <c r="F257" s="55"/>
      <c r="G257" s="56"/>
      <c r="H257" s="133"/>
      <c r="I257" s="134"/>
      <c r="J257" s="134"/>
      <c r="K257" s="55"/>
      <c r="L257" s="55"/>
      <c r="M257" s="54"/>
    </row>
    <row r="258" spans="2:13" ht="49.5" customHeight="1" x14ac:dyDescent="0.3">
      <c r="B258" s="97"/>
      <c r="C258" s="54"/>
      <c r="D258" s="55"/>
      <c r="E258" s="55"/>
      <c r="F258" s="55"/>
      <c r="G258" s="56"/>
      <c r="H258" s="133"/>
      <c r="I258" s="134"/>
      <c r="J258" s="134"/>
      <c r="K258" s="55"/>
      <c r="L258" s="55"/>
      <c r="M258" s="54"/>
    </row>
    <row r="259" spans="2:13" ht="49.5" customHeight="1" x14ac:dyDescent="0.3">
      <c r="B259" s="97"/>
      <c r="C259" s="54"/>
      <c r="D259" s="55"/>
      <c r="E259" s="55"/>
      <c r="F259" s="55"/>
      <c r="G259" s="56"/>
      <c r="H259" s="133"/>
      <c r="I259" s="134"/>
      <c r="J259" s="134"/>
      <c r="K259" s="55"/>
      <c r="L259" s="55"/>
      <c r="M259" s="54"/>
    </row>
    <row r="260" spans="2:13" ht="49.5" customHeight="1" x14ac:dyDescent="0.3">
      <c r="B260" s="97"/>
      <c r="C260" s="54"/>
      <c r="D260" s="55"/>
      <c r="E260" s="55"/>
      <c r="F260" s="55"/>
      <c r="G260" s="56"/>
      <c r="H260" s="133"/>
      <c r="I260" s="134"/>
      <c r="J260" s="134"/>
      <c r="K260" s="55"/>
      <c r="L260" s="55"/>
      <c r="M260" s="54"/>
    </row>
    <row r="261" spans="2:13" ht="49.5" customHeight="1" x14ac:dyDescent="0.3">
      <c r="B261" s="97"/>
      <c r="C261" s="54"/>
      <c r="D261" s="55"/>
      <c r="E261" s="55"/>
      <c r="F261" s="55"/>
      <c r="G261" s="56"/>
      <c r="H261" s="133"/>
      <c r="I261" s="134"/>
      <c r="J261" s="134"/>
      <c r="K261" s="55"/>
      <c r="L261" s="55"/>
      <c r="M261" s="54"/>
    </row>
    <row r="262" spans="2:13" ht="49.5" customHeight="1" x14ac:dyDescent="0.3">
      <c r="B262" s="97"/>
      <c r="C262" s="54"/>
      <c r="D262" s="55"/>
      <c r="E262" s="55"/>
      <c r="F262" s="55"/>
      <c r="G262" s="56"/>
      <c r="H262" s="133"/>
      <c r="I262" s="134"/>
      <c r="J262" s="134"/>
      <c r="K262" s="55"/>
      <c r="L262" s="55"/>
      <c r="M262" s="54"/>
    </row>
    <row r="263" spans="2:13" ht="49.5" customHeight="1" x14ac:dyDescent="0.3">
      <c r="B263" s="97"/>
      <c r="C263" s="54"/>
      <c r="D263" s="55"/>
      <c r="E263" s="55"/>
      <c r="F263" s="55"/>
      <c r="G263" s="56"/>
      <c r="H263" s="133"/>
      <c r="I263" s="134"/>
      <c r="J263" s="134"/>
      <c r="K263" s="55"/>
      <c r="L263" s="55"/>
      <c r="M263" s="54"/>
    </row>
    <row r="264" spans="2:13" ht="49.5" customHeight="1" x14ac:dyDescent="0.3">
      <c r="B264" s="97"/>
      <c r="C264" s="54"/>
      <c r="D264" s="55"/>
      <c r="E264" s="55"/>
      <c r="F264" s="55"/>
      <c r="G264" s="56"/>
      <c r="H264" s="133"/>
      <c r="I264" s="134"/>
      <c r="J264" s="134"/>
      <c r="K264" s="55"/>
      <c r="L264" s="55"/>
      <c r="M264" s="54"/>
    </row>
    <row r="265" spans="2:13" ht="49.5" customHeight="1" x14ac:dyDescent="0.3">
      <c r="B265" s="97"/>
      <c r="C265" s="54"/>
      <c r="D265" s="55"/>
      <c r="E265" s="55"/>
      <c r="F265" s="55"/>
      <c r="G265" s="56"/>
      <c r="H265" s="133"/>
      <c r="I265" s="134"/>
      <c r="J265" s="134"/>
      <c r="K265" s="55"/>
      <c r="L265" s="55"/>
      <c r="M265" s="54"/>
    </row>
    <row r="266" spans="2:13" ht="49.5" customHeight="1" x14ac:dyDescent="0.3">
      <c r="B266" s="97"/>
      <c r="C266" s="54"/>
      <c r="D266" s="55"/>
      <c r="E266" s="55"/>
      <c r="F266" s="55"/>
      <c r="G266" s="56"/>
      <c r="H266" s="133"/>
      <c r="I266" s="134"/>
      <c r="J266" s="134"/>
      <c r="K266" s="55"/>
      <c r="L266" s="55"/>
      <c r="M266" s="54"/>
    </row>
    <row r="267" spans="2:13" ht="49.5" customHeight="1" x14ac:dyDescent="0.3">
      <c r="B267" s="97"/>
      <c r="C267" s="54"/>
      <c r="D267" s="55"/>
      <c r="E267" s="55"/>
      <c r="F267" s="55"/>
      <c r="G267" s="56"/>
      <c r="H267" s="133"/>
      <c r="I267" s="134"/>
      <c r="J267" s="134"/>
      <c r="K267" s="55"/>
      <c r="L267" s="55"/>
      <c r="M267" s="54"/>
    </row>
    <row r="268" spans="2:13" ht="49.5" customHeight="1" x14ac:dyDescent="0.3">
      <c r="B268" s="97"/>
      <c r="C268" s="54"/>
      <c r="D268" s="55"/>
      <c r="E268" s="55"/>
      <c r="F268" s="55"/>
      <c r="G268" s="56"/>
      <c r="H268" s="133"/>
      <c r="I268" s="134"/>
      <c r="J268" s="134"/>
      <c r="K268" s="55"/>
      <c r="L268" s="55"/>
      <c r="M268" s="54"/>
    </row>
    <row r="269" spans="2:13" ht="49.5" customHeight="1" x14ac:dyDescent="0.3">
      <c r="B269" s="97"/>
      <c r="C269" s="54"/>
      <c r="D269" s="55"/>
      <c r="E269" s="55"/>
      <c r="F269" s="55"/>
      <c r="G269" s="56"/>
      <c r="H269" s="133"/>
      <c r="I269" s="134"/>
      <c r="J269" s="134"/>
      <c r="K269" s="55"/>
      <c r="L269" s="55"/>
      <c r="M269" s="54"/>
    </row>
    <row r="270" spans="2:13" ht="49.5" customHeight="1" x14ac:dyDescent="0.3">
      <c r="B270" s="97"/>
      <c r="C270" s="54"/>
      <c r="D270" s="55"/>
      <c r="E270" s="55"/>
      <c r="F270" s="55"/>
      <c r="G270" s="56"/>
      <c r="H270" s="133"/>
      <c r="I270" s="134"/>
      <c r="J270" s="134"/>
      <c r="K270" s="55"/>
      <c r="L270" s="55"/>
      <c r="M270" s="54"/>
    </row>
    <row r="271" spans="2:13" ht="49.5" customHeight="1" x14ac:dyDescent="0.3">
      <c r="B271" s="97"/>
      <c r="C271" s="54"/>
      <c r="D271" s="55"/>
      <c r="E271" s="55"/>
      <c r="F271" s="55"/>
      <c r="G271" s="56"/>
      <c r="H271" s="133"/>
      <c r="I271" s="134"/>
      <c r="J271" s="134"/>
      <c r="K271" s="55"/>
      <c r="L271" s="55"/>
      <c r="M271" s="54"/>
    </row>
    <row r="272" spans="2:13" ht="49.5" customHeight="1" x14ac:dyDescent="0.3">
      <c r="B272" s="97"/>
      <c r="C272" s="54"/>
      <c r="D272" s="55"/>
      <c r="E272" s="55"/>
      <c r="F272" s="55"/>
      <c r="G272" s="56"/>
      <c r="H272" s="133"/>
      <c r="I272" s="134"/>
      <c r="J272" s="134"/>
      <c r="K272" s="55"/>
      <c r="L272" s="55"/>
      <c r="M272" s="54"/>
    </row>
    <row r="273" spans="2:13" ht="49.5" customHeight="1" x14ac:dyDescent="0.3">
      <c r="B273" s="97"/>
      <c r="C273" s="54"/>
      <c r="D273" s="55"/>
      <c r="E273" s="55"/>
      <c r="F273" s="55"/>
      <c r="G273" s="56"/>
      <c r="H273" s="133"/>
      <c r="I273" s="134"/>
      <c r="J273" s="134"/>
      <c r="K273" s="55"/>
      <c r="L273" s="55"/>
      <c r="M273" s="54"/>
    </row>
    <row r="274" spans="2:13" ht="49.5" customHeight="1" x14ac:dyDescent="0.3">
      <c r="B274" s="97"/>
      <c r="C274" s="54"/>
      <c r="D274" s="55"/>
      <c r="E274" s="55"/>
      <c r="F274" s="55"/>
      <c r="G274" s="56"/>
      <c r="H274" s="133"/>
      <c r="I274" s="134"/>
      <c r="J274" s="134"/>
      <c r="K274" s="55"/>
      <c r="L274" s="55"/>
      <c r="M274" s="54"/>
    </row>
    <row r="275" spans="2:13" ht="49.5" customHeight="1" x14ac:dyDescent="0.3">
      <c r="B275" s="97"/>
      <c r="C275" s="54"/>
      <c r="D275" s="55"/>
      <c r="E275" s="55"/>
      <c r="F275" s="55"/>
      <c r="G275" s="56"/>
      <c r="H275" s="133"/>
      <c r="I275" s="134"/>
      <c r="J275" s="134"/>
      <c r="K275" s="55"/>
      <c r="L275" s="55"/>
      <c r="M275" s="54"/>
    </row>
    <row r="276" spans="2:13" ht="49.5" customHeight="1" x14ac:dyDescent="0.3">
      <c r="B276" s="97"/>
      <c r="C276" s="54"/>
      <c r="D276" s="55"/>
      <c r="E276" s="55"/>
      <c r="F276" s="55"/>
      <c r="G276" s="56"/>
      <c r="H276" s="133"/>
      <c r="I276" s="134"/>
      <c r="J276" s="134"/>
      <c r="K276" s="55"/>
      <c r="L276" s="55"/>
      <c r="M276" s="54"/>
    </row>
    <row r="277" spans="2:13" ht="49.5" customHeight="1" x14ac:dyDescent="0.3">
      <c r="B277" s="97"/>
      <c r="C277" s="54"/>
      <c r="D277" s="55"/>
      <c r="E277" s="55"/>
      <c r="F277" s="55"/>
      <c r="G277" s="56"/>
      <c r="H277" s="133"/>
      <c r="I277" s="134"/>
      <c r="J277" s="134"/>
      <c r="K277" s="55"/>
      <c r="L277" s="55"/>
      <c r="M277" s="54"/>
    </row>
    <row r="278" spans="2:13" ht="49.5" customHeight="1" x14ac:dyDescent="0.3">
      <c r="B278" s="97"/>
      <c r="C278" s="54"/>
      <c r="D278" s="55"/>
      <c r="E278" s="55"/>
      <c r="F278" s="55"/>
      <c r="G278" s="56"/>
      <c r="H278" s="133"/>
      <c r="I278" s="134"/>
      <c r="J278" s="134"/>
      <c r="K278" s="55"/>
      <c r="L278" s="55"/>
      <c r="M278" s="54"/>
    </row>
    <row r="279" spans="2:13" ht="49.5" customHeight="1" x14ac:dyDescent="0.3">
      <c r="B279" s="97"/>
      <c r="C279" s="54"/>
      <c r="D279" s="55"/>
      <c r="E279" s="55"/>
      <c r="F279" s="55"/>
      <c r="G279" s="56"/>
      <c r="H279" s="133"/>
      <c r="I279" s="134"/>
      <c r="J279" s="134"/>
      <c r="K279" s="55"/>
      <c r="L279" s="55"/>
      <c r="M279" s="54"/>
    </row>
    <row r="280" spans="2:13" ht="49.5" customHeight="1" x14ac:dyDescent="0.3">
      <c r="B280" s="97"/>
      <c r="C280" s="54"/>
      <c r="D280" s="55"/>
      <c r="E280" s="55"/>
      <c r="F280" s="55"/>
      <c r="G280" s="56"/>
      <c r="H280" s="133"/>
      <c r="I280" s="134"/>
      <c r="J280" s="134"/>
      <c r="K280" s="55"/>
      <c r="L280" s="55"/>
      <c r="M280" s="54"/>
    </row>
    <row r="281" spans="2:13" ht="49.5" customHeight="1" x14ac:dyDescent="0.3">
      <c r="B281" s="97"/>
      <c r="C281" s="54"/>
      <c r="D281" s="55"/>
      <c r="E281" s="55"/>
      <c r="F281" s="55"/>
      <c r="G281" s="56"/>
      <c r="H281" s="133"/>
      <c r="I281" s="134"/>
      <c r="J281" s="134"/>
      <c r="K281" s="55"/>
      <c r="L281" s="55"/>
      <c r="M281" s="54"/>
    </row>
    <row r="282" spans="2:13" ht="49.5" customHeight="1" x14ac:dyDescent="0.3">
      <c r="B282" s="97"/>
      <c r="C282" s="54"/>
      <c r="D282" s="55"/>
      <c r="E282" s="55"/>
      <c r="F282" s="55"/>
      <c r="G282" s="56"/>
      <c r="H282" s="133"/>
      <c r="I282" s="134"/>
      <c r="J282" s="134"/>
      <c r="K282" s="55"/>
      <c r="L282" s="55"/>
      <c r="M282" s="54"/>
    </row>
    <row r="283" spans="2:13" ht="49.5" customHeight="1" x14ac:dyDescent="0.3">
      <c r="B283" s="97"/>
      <c r="C283" s="54"/>
      <c r="D283" s="55"/>
      <c r="E283" s="55"/>
      <c r="F283" s="55"/>
      <c r="G283" s="56"/>
      <c r="H283" s="133"/>
      <c r="I283" s="134"/>
      <c r="J283" s="134"/>
      <c r="K283" s="55"/>
      <c r="L283" s="55"/>
      <c r="M283" s="54"/>
    </row>
    <row r="284" spans="2:13" ht="49.5" customHeight="1" x14ac:dyDescent="0.3">
      <c r="B284" s="97"/>
      <c r="C284" s="54"/>
      <c r="D284" s="55"/>
      <c r="E284" s="55"/>
      <c r="F284" s="55"/>
      <c r="G284" s="56"/>
      <c r="H284" s="133"/>
      <c r="I284" s="134"/>
      <c r="J284" s="134"/>
      <c r="K284" s="55"/>
      <c r="L284" s="55"/>
      <c r="M284" s="54"/>
    </row>
    <row r="285" spans="2:13" ht="49.5" customHeight="1" x14ac:dyDescent="0.3">
      <c r="B285" s="97"/>
      <c r="C285" s="54"/>
      <c r="D285" s="55"/>
      <c r="E285" s="55"/>
      <c r="F285" s="55"/>
      <c r="G285" s="56"/>
      <c r="H285" s="133"/>
      <c r="I285" s="134"/>
      <c r="J285" s="134"/>
      <c r="K285" s="55"/>
      <c r="L285" s="55"/>
      <c r="M285" s="54"/>
    </row>
    <row r="286" spans="2:13" ht="49.5" customHeight="1" x14ac:dyDescent="0.3">
      <c r="B286" s="97"/>
      <c r="C286" s="54"/>
      <c r="D286" s="55"/>
      <c r="E286" s="55"/>
      <c r="F286" s="55"/>
      <c r="G286" s="56"/>
      <c r="H286" s="133"/>
      <c r="I286" s="134"/>
      <c r="J286" s="134"/>
      <c r="K286" s="55"/>
      <c r="L286" s="55"/>
      <c r="M286" s="54"/>
    </row>
    <row r="287" spans="2:13" ht="49.5" customHeight="1" x14ac:dyDescent="0.3">
      <c r="B287" s="97"/>
      <c r="C287" s="54"/>
      <c r="D287" s="55"/>
      <c r="E287" s="55"/>
      <c r="F287" s="55"/>
      <c r="G287" s="56"/>
      <c r="H287" s="133"/>
      <c r="I287" s="134"/>
      <c r="J287" s="134"/>
      <c r="K287" s="55"/>
      <c r="L287" s="55"/>
      <c r="M287" s="54"/>
    </row>
    <row r="288" spans="2:13" ht="49.5" customHeight="1" x14ac:dyDescent="0.3">
      <c r="B288" s="97"/>
      <c r="C288" s="54"/>
      <c r="D288" s="55"/>
      <c r="E288" s="55"/>
      <c r="F288" s="55"/>
      <c r="G288" s="56"/>
      <c r="H288" s="133"/>
      <c r="I288" s="134"/>
      <c r="J288" s="134"/>
      <c r="K288" s="55"/>
      <c r="L288" s="55"/>
      <c r="M288" s="54"/>
    </row>
    <row r="289" spans="2:13" ht="49.5" customHeight="1" x14ac:dyDescent="0.3">
      <c r="B289" s="97"/>
      <c r="C289" s="54"/>
      <c r="D289" s="55"/>
      <c r="E289" s="55"/>
      <c r="F289" s="55"/>
      <c r="G289" s="56"/>
      <c r="H289" s="133"/>
      <c r="I289" s="134"/>
      <c r="J289" s="134"/>
      <c r="K289" s="55"/>
      <c r="L289" s="55"/>
      <c r="M289" s="54"/>
    </row>
    <row r="290" spans="2:13" ht="49.5" customHeight="1" x14ac:dyDescent="0.3">
      <c r="B290" s="97"/>
      <c r="C290" s="54"/>
      <c r="D290" s="55"/>
      <c r="E290" s="55"/>
      <c r="F290" s="55"/>
      <c r="G290" s="56"/>
      <c r="H290" s="133"/>
      <c r="I290" s="134"/>
      <c r="J290" s="134"/>
      <c r="K290" s="55"/>
      <c r="L290" s="55"/>
      <c r="M290" s="54"/>
    </row>
    <row r="291" spans="2:13" ht="49.5" customHeight="1" x14ac:dyDescent="0.3">
      <c r="B291" s="97"/>
      <c r="C291" s="54"/>
      <c r="D291" s="55"/>
      <c r="E291" s="55"/>
      <c r="F291" s="55"/>
      <c r="G291" s="56"/>
      <c r="H291" s="133"/>
      <c r="I291" s="134"/>
      <c r="J291" s="134"/>
      <c r="K291" s="55"/>
      <c r="L291" s="55"/>
      <c r="M291" s="54"/>
    </row>
    <row r="292" spans="2:13" ht="49.5" customHeight="1" x14ac:dyDescent="0.3">
      <c r="B292" s="97"/>
      <c r="C292" s="54"/>
      <c r="D292" s="55"/>
      <c r="E292" s="55"/>
      <c r="F292" s="55"/>
      <c r="G292" s="56"/>
      <c r="H292" s="133"/>
      <c r="I292" s="134"/>
      <c r="J292" s="134"/>
      <c r="K292" s="55"/>
      <c r="L292" s="55"/>
      <c r="M292" s="54"/>
    </row>
    <row r="293" spans="2:13" ht="49.5" customHeight="1" x14ac:dyDescent="0.3">
      <c r="B293" s="97"/>
      <c r="C293" s="54"/>
      <c r="D293" s="55"/>
      <c r="E293" s="55"/>
      <c r="F293" s="55"/>
      <c r="G293" s="56"/>
      <c r="H293" s="133"/>
      <c r="I293" s="134"/>
      <c r="J293" s="134"/>
      <c r="K293" s="55"/>
      <c r="L293" s="55"/>
      <c r="M293" s="54"/>
    </row>
    <row r="294" spans="2:13" ht="49.5" customHeight="1" x14ac:dyDescent="0.3">
      <c r="B294" s="97"/>
      <c r="C294" s="54"/>
      <c r="D294" s="55"/>
      <c r="E294" s="55"/>
      <c r="F294" s="55"/>
      <c r="G294" s="56"/>
      <c r="H294" s="133"/>
      <c r="I294" s="134"/>
      <c r="J294" s="134"/>
      <c r="K294" s="55"/>
      <c r="L294" s="55"/>
      <c r="M294" s="54"/>
    </row>
    <row r="295" spans="2:13" ht="49.5" customHeight="1" x14ac:dyDescent="0.3">
      <c r="B295" s="97"/>
      <c r="C295" s="54"/>
      <c r="D295" s="55"/>
      <c r="E295" s="55"/>
      <c r="F295" s="55"/>
      <c r="G295" s="56"/>
      <c r="H295" s="133"/>
      <c r="I295" s="134"/>
      <c r="J295" s="134"/>
      <c r="K295" s="55"/>
      <c r="L295" s="55"/>
      <c r="M295" s="54"/>
    </row>
    <row r="296" spans="2:13" ht="49.5" customHeight="1" x14ac:dyDescent="0.3">
      <c r="B296" s="97"/>
      <c r="C296" s="54"/>
      <c r="D296" s="55"/>
      <c r="E296" s="55"/>
      <c r="F296" s="55"/>
      <c r="G296" s="56"/>
      <c r="H296" s="133"/>
      <c r="I296" s="134"/>
      <c r="J296" s="134"/>
      <c r="K296" s="55"/>
      <c r="L296" s="55"/>
      <c r="M296" s="54"/>
    </row>
    <row r="297" spans="2:13" ht="49.5" customHeight="1" x14ac:dyDescent="0.3">
      <c r="B297" s="97"/>
      <c r="C297" s="54"/>
      <c r="D297" s="55"/>
      <c r="E297" s="55"/>
      <c r="F297" s="55"/>
      <c r="G297" s="56"/>
      <c r="H297" s="133"/>
      <c r="I297" s="134"/>
      <c r="J297" s="134"/>
      <c r="K297" s="55"/>
      <c r="L297" s="55"/>
      <c r="M297" s="54"/>
    </row>
    <row r="298" spans="2:13" ht="49.5" customHeight="1" x14ac:dyDescent="0.3">
      <c r="B298" s="97"/>
      <c r="C298" s="54"/>
      <c r="D298" s="55"/>
      <c r="E298" s="55"/>
      <c r="F298" s="55"/>
      <c r="G298" s="56"/>
      <c r="H298" s="133"/>
      <c r="I298" s="134"/>
      <c r="J298" s="134"/>
      <c r="K298" s="55"/>
      <c r="L298" s="55"/>
      <c r="M298" s="54"/>
    </row>
    <row r="299" spans="2:13" ht="49.5" customHeight="1" x14ac:dyDescent="0.3">
      <c r="B299" s="97"/>
      <c r="C299" s="54"/>
      <c r="D299" s="55"/>
      <c r="E299" s="55"/>
      <c r="F299" s="55"/>
      <c r="G299" s="56"/>
      <c r="H299" s="133"/>
      <c r="I299" s="134"/>
      <c r="J299" s="134"/>
      <c r="K299" s="55"/>
      <c r="L299" s="55"/>
      <c r="M299" s="54"/>
    </row>
    <row r="300" spans="2:13" ht="49.5" customHeight="1" x14ac:dyDescent="0.3">
      <c r="B300" s="97"/>
      <c r="C300" s="54"/>
      <c r="D300" s="55"/>
      <c r="E300" s="55"/>
      <c r="F300" s="55"/>
      <c r="G300" s="56"/>
      <c r="H300" s="133"/>
      <c r="I300" s="134"/>
      <c r="J300" s="134"/>
      <c r="K300" s="55"/>
      <c r="L300" s="55"/>
      <c r="M300" s="54"/>
    </row>
    <row r="301" spans="2:13" ht="49.5" customHeight="1" x14ac:dyDescent="0.3">
      <c r="B301" s="97"/>
      <c r="C301" s="54"/>
      <c r="D301" s="55"/>
      <c r="E301" s="55"/>
      <c r="F301" s="55"/>
      <c r="G301" s="56"/>
      <c r="H301" s="133"/>
      <c r="I301" s="134"/>
      <c r="J301" s="134"/>
      <c r="K301" s="55"/>
      <c r="L301" s="55"/>
      <c r="M301" s="54"/>
    </row>
    <row r="302" spans="2:13" ht="49.5" customHeight="1" x14ac:dyDescent="0.3">
      <c r="B302" s="97"/>
      <c r="C302" s="54"/>
      <c r="D302" s="55"/>
      <c r="E302" s="55"/>
      <c r="F302" s="55"/>
      <c r="G302" s="56"/>
      <c r="H302" s="133"/>
      <c r="I302" s="134"/>
      <c r="J302" s="134"/>
      <c r="K302" s="55"/>
      <c r="L302" s="55"/>
      <c r="M302" s="54"/>
    </row>
    <row r="303" spans="2:13" ht="49.5" customHeight="1" x14ac:dyDescent="0.3">
      <c r="B303" s="97"/>
      <c r="C303" s="54"/>
      <c r="D303" s="55"/>
      <c r="E303" s="55"/>
      <c r="F303" s="55"/>
      <c r="G303" s="56"/>
      <c r="H303" s="133"/>
      <c r="I303" s="134"/>
      <c r="J303" s="134"/>
      <c r="K303" s="55"/>
      <c r="L303" s="55"/>
      <c r="M303" s="54"/>
    </row>
    <row r="304" spans="2:13" ht="49.5" customHeight="1" x14ac:dyDescent="0.3">
      <c r="B304" s="97"/>
      <c r="C304" s="54"/>
      <c r="D304" s="55"/>
      <c r="E304" s="55"/>
      <c r="F304" s="55"/>
      <c r="G304" s="56"/>
      <c r="H304" s="133"/>
      <c r="I304" s="134"/>
      <c r="J304" s="134"/>
      <c r="K304" s="55"/>
      <c r="L304" s="55"/>
      <c r="M304" s="54"/>
    </row>
    <row r="305" spans="2:13" ht="49.5" customHeight="1" x14ac:dyDescent="0.3">
      <c r="B305" s="97"/>
      <c r="C305" s="54"/>
      <c r="D305" s="55"/>
      <c r="E305" s="55"/>
      <c r="F305" s="55"/>
      <c r="G305" s="56"/>
      <c r="H305" s="133"/>
      <c r="I305" s="134"/>
      <c r="J305" s="134"/>
      <c r="K305" s="55"/>
      <c r="L305" s="55"/>
      <c r="M305" s="54"/>
    </row>
    <row r="306" spans="2:13" ht="49.5" customHeight="1" x14ac:dyDescent="0.3">
      <c r="B306" s="97"/>
      <c r="C306" s="54"/>
      <c r="D306" s="55"/>
      <c r="E306" s="55"/>
      <c r="F306" s="55"/>
      <c r="G306" s="56"/>
      <c r="H306" s="133"/>
      <c r="I306" s="134"/>
      <c r="J306" s="134"/>
      <c r="K306" s="55"/>
      <c r="L306" s="55"/>
      <c r="M306" s="54"/>
    </row>
    <row r="307" spans="2:13" ht="49.5" customHeight="1" x14ac:dyDescent="0.3">
      <c r="B307" s="97"/>
      <c r="C307" s="54"/>
      <c r="D307" s="55"/>
      <c r="E307" s="55"/>
      <c r="F307" s="55"/>
      <c r="G307" s="56"/>
      <c r="H307" s="133"/>
      <c r="I307" s="134"/>
      <c r="J307" s="134"/>
      <c r="K307" s="55"/>
      <c r="L307" s="55"/>
      <c r="M307" s="54"/>
    </row>
    <row r="308" spans="2:13" ht="49.5" customHeight="1" x14ac:dyDescent="0.3">
      <c r="B308" s="97"/>
      <c r="C308" s="54"/>
      <c r="D308" s="55"/>
      <c r="E308" s="55"/>
      <c r="F308" s="55"/>
      <c r="G308" s="56"/>
      <c r="H308" s="133"/>
      <c r="I308" s="134"/>
      <c r="J308" s="134"/>
      <c r="K308" s="55"/>
      <c r="L308" s="55"/>
      <c r="M308" s="54"/>
    </row>
    <row r="309" spans="2:13" ht="49.5" customHeight="1" x14ac:dyDescent="0.3">
      <c r="B309" s="97"/>
      <c r="C309" s="54"/>
      <c r="D309" s="55"/>
      <c r="E309" s="55"/>
      <c r="F309" s="55"/>
      <c r="G309" s="56"/>
      <c r="H309" s="133"/>
      <c r="I309" s="134"/>
      <c r="J309" s="134"/>
      <c r="K309" s="55"/>
      <c r="L309" s="55"/>
      <c r="M309" s="54"/>
    </row>
    <row r="310" spans="2:13" ht="49.5" customHeight="1" x14ac:dyDescent="0.3">
      <c r="B310" s="97"/>
      <c r="C310" s="54"/>
      <c r="D310" s="55"/>
      <c r="E310" s="55"/>
      <c r="F310" s="55"/>
      <c r="G310" s="56"/>
      <c r="H310" s="133"/>
      <c r="I310" s="134"/>
      <c r="J310" s="134"/>
      <c r="K310" s="55"/>
      <c r="L310" s="55"/>
      <c r="M310" s="54"/>
    </row>
    <row r="311" spans="2:13" ht="49.5" customHeight="1" x14ac:dyDescent="0.3">
      <c r="B311" s="97"/>
      <c r="C311" s="54"/>
      <c r="D311" s="55"/>
      <c r="E311" s="55"/>
      <c r="F311" s="55"/>
      <c r="G311" s="56"/>
      <c r="H311" s="133"/>
      <c r="I311" s="134"/>
      <c r="J311" s="134"/>
      <c r="K311" s="55"/>
      <c r="L311" s="55"/>
      <c r="M311" s="54"/>
    </row>
    <row r="312" spans="2:13" ht="49.5" customHeight="1" x14ac:dyDescent="0.3">
      <c r="B312" s="97"/>
      <c r="C312" s="54"/>
      <c r="D312" s="55"/>
      <c r="E312" s="55"/>
      <c r="F312" s="55"/>
      <c r="G312" s="56"/>
      <c r="H312" s="133"/>
      <c r="I312" s="134"/>
      <c r="J312" s="134"/>
      <c r="K312" s="55"/>
      <c r="L312" s="55"/>
      <c r="M312" s="54"/>
    </row>
    <row r="313" spans="2:13" ht="49.5" customHeight="1" x14ac:dyDescent="0.3">
      <c r="B313" s="97"/>
      <c r="C313" s="54"/>
      <c r="D313" s="55"/>
      <c r="E313" s="55"/>
      <c r="F313" s="55"/>
      <c r="G313" s="56"/>
      <c r="H313" s="133"/>
      <c r="I313" s="134"/>
      <c r="J313" s="134"/>
      <c r="K313" s="55"/>
      <c r="L313" s="55"/>
      <c r="M313" s="54"/>
    </row>
    <row r="314" spans="2:13" ht="49.5" customHeight="1" x14ac:dyDescent="0.3">
      <c r="B314" s="97"/>
      <c r="C314" s="54"/>
      <c r="D314" s="55"/>
      <c r="E314" s="55"/>
      <c r="F314" s="55"/>
      <c r="G314" s="56"/>
      <c r="H314" s="133"/>
      <c r="I314" s="134"/>
      <c r="J314" s="134"/>
      <c r="K314" s="55"/>
      <c r="L314" s="55"/>
      <c r="M314" s="54"/>
    </row>
    <row r="315" spans="2:13" ht="49.5" customHeight="1" x14ac:dyDescent="0.3">
      <c r="B315" s="97"/>
      <c r="C315" s="54"/>
      <c r="D315" s="55"/>
      <c r="E315" s="55"/>
      <c r="F315" s="55"/>
      <c r="G315" s="56"/>
      <c r="H315" s="133"/>
      <c r="I315" s="134"/>
      <c r="J315" s="134"/>
      <c r="K315" s="55"/>
      <c r="L315" s="55"/>
      <c r="M315" s="54"/>
    </row>
    <row r="316" spans="2:13" ht="49.5" customHeight="1" x14ac:dyDescent="0.3">
      <c r="B316" s="97"/>
      <c r="C316" s="54"/>
      <c r="D316" s="55"/>
      <c r="E316" s="55"/>
      <c r="F316" s="55"/>
      <c r="G316" s="56"/>
      <c r="H316" s="133"/>
      <c r="I316" s="134"/>
      <c r="J316" s="134"/>
      <c r="K316" s="55"/>
      <c r="L316" s="55"/>
      <c r="M316" s="54"/>
    </row>
    <row r="317" spans="2:13" ht="49.5" customHeight="1" x14ac:dyDescent="0.3">
      <c r="B317" s="97"/>
      <c r="C317" s="54"/>
      <c r="D317" s="55"/>
      <c r="E317" s="55"/>
      <c r="F317" s="55"/>
      <c r="G317" s="56"/>
      <c r="H317" s="133"/>
      <c r="I317" s="134"/>
      <c r="J317" s="134"/>
      <c r="K317" s="55"/>
      <c r="L317" s="55"/>
      <c r="M317" s="54"/>
    </row>
    <row r="318" spans="2:13" ht="49.5" customHeight="1" x14ac:dyDescent="0.3">
      <c r="B318" s="97"/>
      <c r="C318" s="54"/>
      <c r="D318" s="55"/>
      <c r="E318" s="55"/>
      <c r="F318" s="55"/>
      <c r="G318" s="56"/>
      <c r="H318" s="133"/>
      <c r="I318" s="134"/>
      <c r="J318" s="134"/>
      <c r="K318" s="55"/>
      <c r="L318" s="55"/>
      <c r="M318" s="54"/>
    </row>
    <row r="319" spans="2:13" ht="49.5" customHeight="1" x14ac:dyDescent="0.3">
      <c r="B319" s="97"/>
      <c r="C319" s="54"/>
      <c r="D319" s="55"/>
      <c r="E319" s="55"/>
      <c r="F319" s="55"/>
      <c r="G319" s="56"/>
      <c r="H319" s="133"/>
      <c r="I319" s="134"/>
      <c r="J319" s="134"/>
      <c r="K319" s="55"/>
      <c r="L319" s="55"/>
      <c r="M319" s="54"/>
    </row>
    <row r="320" spans="2:13" ht="49.5" customHeight="1" x14ac:dyDescent="0.3">
      <c r="B320" s="97"/>
      <c r="C320" s="54"/>
      <c r="D320" s="55"/>
      <c r="E320" s="55"/>
      <c r="F320" s="55"/>
      <c r="G320" s="56"/>
      <c r="H320" s="133"/>
      <c r="I320" s="134"/>
      <c r="J320" s="134"/>
      <c r="K320" s="55"/>
      <c r="L320" s="55"/>
      <c r="M320" s="54"/>
    </row>
    <row r="321" spans="2:13" ht="49.5" customHeight="1" x14ac:dyDescent="0.3">
      <c r="B321" s="97"/>
      <c r="C321" s="54"/>
      <c r="D321" s="55"/>
      <c r="E321" s="55"/>
      <c r="F321" s="55"/>
      <c r="G321" s="56"/>
      <c r="H321" s="133"/>
      <c r="I321" s="134"/>
      <c r="J321" s="134"/>
      <c r="K321" s="55"/>
      <c r="L321" s="55"/>
      <c r="M321" s="54"/>
    </row>
    <row r="322" spans="2:13" ht="49.5" customHeight="1" x14ac:dyDescent="0.3">
      <c r="B322" s="97"/>
      <c r="C322" s="54"/>
      <c r="D322" s="55"/>
      <c r="E322" s="55"/>
      <c r="F322" s="55"/>
      <c r="G322" s="56"/>
      <c r="H322" s="133"/>
      <c r="I322" s="134"/>
      <c r="J322" s="134"/>
      <c r="K322" s="55"/>
      <c r="L322" s="55"/>
      <c r="M322" s="54"/>
    </row>
    <row r="323" spans="2:13" ht="49.5" customHeight="1" x14ac:dyDescent="0.3">
      <c r="B323" s="97"/>
      <c r="C323" s="54"/>
      <c r="D323" s="55"/>
      <c r="E323" s="55"/>
      <c r="F323" s="55"/>
      <c r="G323" s="56"/>
      <c r="H323" s="133"/>
      <c r="I323" s="134"/>
      <c r="J323" s="134"/>
      <c r="K323" s="55"/>
      <c r="L323" s="55"/>
      <c r="M323" s="54"/>
    </row>
    <row r="324" spans="2:13" ht="49.5" customHeight="1" x14ac:dyDescent="0.3">
      <c r="B324" s="97"/>
      <c r="C324" s="54"/>
      <c r="D324" s="55"/>
      <c r="E324" s="55"/>
      <c r="F324" s="55"/>
      <c r="G324" s="56"/>
      <c r="H324" s="133"/>
      <c r="I324" s="134"/>
      <c r="J324" s="134"/>
      <c r="K324" s="55"/>
      <c r="L324" s="55"/>
      <c r="M324" s="54"/>
    </row>
    <row r="325" spans="2:13" ht="49.5" customHeight="1" x14ac:dyDescent="0.3">
      <c r="B325" s="97"/>
      <c r="C325" s="54"/>
      <c r="D325" s="55"/>
      <c r="E325" s="55"/>
      <c r="F325" s="55"/>
      <c r="G325" s="56"/>
      <c r="H325" s="133"/>
      <c r="I325" s="134"/>
      <c r="J325" s="134"/>
      <c r="K325" s="55"/>
      <c r="L325" s="55"/>
      <c r="M325" s="54"/>
    </row>
    <row r="326" spans="2:13" ht="49.5" customHeight="1" x14ac:dyDescent="0.3">
      <c r="B326" s="97"/>
      <c r="C326" s="54"/>
      <c r="D326" s="55"/>
      <c r="E326" s="55"/>
      <c r="F326" s="55"/>
      <c r="G326" s="56"/>
      <c r="H326" s="133"/>
      <c r="I326" s="134"/>
      <c r="J326" s="134"/>
      <c r="K326" s="55"/>
      <c r="L326" s="55"/>
      <c r="M326" s="54"/>
    </row>
    <row r="327" spans="2:13" ht="49.5" customHeight="1" x14ac:dyDescent="0.3">
      <c r="B327" s="97"/>
      <c r="C327" s="54"/>
      <c r="D327" s="55"/>
      <c r="E327" s="55"/>
      <c r="F327" s="55"/>
      <c r="G327" s="56"/>
      <c r="H327" s="133"/>
      <c r="I327" s="134"/>
      <c r="J327" s="134"/>
      <c r="K327" s="55"/>
      <c r="L327" s="55"/>
      <c r="M327" s="54"/>
    </row>
    <row r="328" spans="2:13" ht="49.5" customHeight="1" x14ac:dyDescent="0.3">
      <c r="B328" s="97"/>
      <c r="C328" s="54"/>
      <c r="D328" s="55"/>
      <c r="E328" s="55"/>
      <c r="F328" s="55"/>
      <c r="G328" s="56"/>
      <c r="H328" s="133"/>
      <c r="I328" s="134"/>
      <c r="J328" s="134"/>
      <c r="K328" s="55"/>
      <c r="L328" s="55"/>
      <c r="M328" s="54"/>
    </row>
    <row r="329" spans="2:13" ht="49.5" customHeight="1" x14ac:dyDescent="0.3">
      <c r="B329" s="97"/>
      <c r="C329" s="54"/>
      <c r="D329" s="55"/>
      <c r="E329" s="55"/>
      <c r="F329" s="55"/>
      <c r="G329" s="56"/>
      <c r="H329" s="133"/>
      <c r="I329" s="134"/>
      <c r="J329" s="134"/>
      <c r="K329" s="55"/>
      <c r="L329" s="55"/>
      <c r="M329" s="54"/>
    </row>
    <row r="330" spans="2:13" ht="49.5" customHeight="1" x14ac:dyDescent="0.3">
      <c r="B330" s="97"/>
      <c r="C330" s="54"/>
      <c r="D330" s="55"/>
      <c r="E330" s="55"/>
      <c r="F330" s="55"/>
      <c r="G330" s="56"/>
      <c r="H330" s="133"/>
      <c r="I330" s="134"/>
      <c r="J330" s="134"/>
      <c r="K330" s="55"/>
      <c r="L330" s="55"/>
      <c r="M330" s="54"/>
    </row>
    <row r="331" spans="2:13" ht="49.5" customHeight="1" x14ac:dyDescent="0.3">
      <c r="B331" s="97"/>
      <c r="C331" s="54"/>
      <c r="D331" s="55"/>
      <c r="E331" s="55"/>
      <c r="F331" s="55"/>
      <c r="G331" s="56"/>
      <c r="H331" s="133"/>
      <c r="I331" s="134"/>
      <c r="J331" s="134"/>
      <c r="K331" s="55"/>
      <c r="L331" s="55"/>
      <c r="M331" s="54"/>
    </row>
    <row r="332" spans="2:13" ht="49.5" customHeight="1" x14ac:dyDescent="0.3">
      <c r="B332" s="97"/>
      <c r="C332" s="54"/>
      <c r="D332" s="55"/>
      <c r="E332" s="55"/>
      <c r="F332" s="55"/>
      <c r="G332" s="56"/>
      <c r="H332" s="133"/>
      <c r="I332" s="134"/>
      <c r="J332" s="134"/>
      <c r="K332" s="55"/>
      <c r="L332" s="55"/>
      <c r="M332" s="54"/>
    </row>
    <row r="333" spans="2:13" ht="49.5" customHeight="1" x14ac:dyDescent="0.3">
      <c r="B333" s="97"/>
      <c r="C333" s="54"/>
      <c r="D333" s="55"/>
      <c r="E333" s="55"/>
      <c r="F333" s="55"/>
      <c r="G333" s="56"/>
      <c r="H333" s="133"/>
      <c r="I333" s="134"/>
      <c r="J333" s="134"/>
      <c r="K333" s="55"/>
      <c r="L333" s="55"/>
      <c r="M333" s="54"/>
    </row>
    <row r="334" spans="2:13" ht="49.5" customHeight="1" x14ac:dyDescent="0.3">
      <c r="B334" s="97"/>
      <c r="C334" s="54"/>
      <c r="D334" s="55"/>
      <c r="E334" s="55"/>
      <c r="F334" s="55"/>
      <c r="G334" s="56"/>
      <c r="H334" s="133"/>
      <c r="I334" s="134"/>
      <c r="J334" s="134"/>
      <c r="K334" s="55"/>
      <c r="L334" s="55"/>
      <c r="M334" s="54"/>
    </row>
    <row r="335" spans="2:13" ht="49.5" customHeight="1" x14ac:dyDescent="0.3">
      <c r="B335" s="97"/>
      <c r="C335" s="54"/>
      <c r="D335" s="55"/>
      <c r="E335" s="55"/>
      <c r="F335" s="55"/>
      <c r="G335" s="56"/>
      <c r="H335" s="133"/>
      <c r="I335" s="134"/>
      <c r="J335" s="134"/>
      <c r="K335" s="55"/>
      <c r="L335" s="55"/>
      <c r="M335" s="54"/>
    </row>
    <row r="336" spans="2:13" ht="49.5" customHeight="1" x14ac:dyDescent="0.3">
      <c r="B336" s="97"/>
      <c r="C336" s="54"/>
      <c r="D336" s="55"/>
      <c r="E336" s="55"/>
      <c r="F336" s="55"/>
      <c r="G336" s="56"/>
      <c r="H336" s="133"/>
      <c r="I336" s="134"/>
      <c r="J336" s="134"/>
      <c r="K336" s="55"/>
      <c r="L336" s="55"/>
      <c r="M336" s="54"/>
    </row>
    <row r="337" spans="2:13" ht="49.5" customHeight="1" x14ac:dyDescent="0.3">
      <c r="B337" s="97"/>
      <c r="C337" s="54"/>
      <c r="D337" s="55"/>
      <c r="E337" s="55"/>
      <c r="F337" s="55"/>
      <c r="G337" s="56"/>
      <c r="H337" s="133"/>
      <c r="I337" s="134"/>
      <c r="J337" s="134"/>
      <c r="K337" s="55"/>
      <c r="L337" s="55"/>
      <c r="M337" s="54"/>
    </row>
    <row r="338" spans="2:13" ht="49.5" customHeight="1" x14ac:dyDescent="0.3">
      <c r="B338" s="97"/>
      <c r="C338" s="54"/>
      <c r="D338" s="55"/>
      <c r="E338" s="55"/>
      <c r="F338" s="55"/>
      <c r="G338" s="56"/>
      <c r="H338" s="133"/>
      <c r="I338" s="134"/>
      <c r="J338" s="134"/>
      <c r="K338" s="55"/>
      <c r="L338" s="55"/>
      <c r="M338" s="54"/>
    </row>
    <row r="339" spans="2:13" ht="49.5" customHeight="1" x14ac:dyDescent="0.3">
      <c r="B339" s="97"/>
      <c r="C339" s="54"/>
      <c r="D339" s="55"/>
      <c r="E339" s="55"/>
      <c r="F339" s="55"/>
      <c r="G339" s="56"/>
      <c r="H339" s="133"/>
      <c r="I339" s="134"/>
      <c r="J339" s="134"/>
      <c r="K339" s="55"/>
      <c r="L339" s="55"/>
      <c r="M339" s="54"/>
    </row>
    <row r="340" spans="2:13" ht="49.5" customHeight="1" x14ac:dyDescent="0.3">
      <c r="B340" s="97"/>
      <c r="C340" s="54"/>
      <c r="D340" s="55"/>
      <c r="E340" s="55"/>
      <c r="F340" s="55"/>
      <c r="G340" s="56"/>
      <c r="H340" s="133"/>
      <c r="I340" s="134"/>
      <c r="J340" s="134"/>
      <c r="K340" s="55"/>
      <c r="L340" s="55"/>
      <c r="M340" s="54"/>
    </row>
    <row r="341" spans="2:13" ht="49.5" customHeight="1" x14ac:dyDescent="0.3">
      <c r="B341" s="97"/>
      <c r="C341" s="54"/>
      <c r="D341" s="55"/>
      <c r="E341" s="55"/>
      <c r="F341" s="55"/>
      <c r="G341" s="56"/>
      <c r="H341" s="133"/>
      <c r="I341" s="134"/>
      <c r="J341" s="134"/>
      <c r="K341" s="55"/>
      <c r="L341" s="55"/>
      <c r="M341" s="54"/>
    </row>
    <row r="342" spans="2:13" ht="49.5" customHeight="1" x14ac:dyDescent="0.3">
      <c r="B342" s="97"/>
      <c r="C342" s="54"/>
      <c r="D342" s="55"/>
      <c r="E342" s="55"/>
      <c r="F342" s="55"/>
      <c r="G342" s="56"/>
      <c r="H342" s="133"/>
      <c r="I342" s="134"/>
      <c r="J342" s="134"/>
      <c r="K342" s="55"/>
      <c r="L342" s="55"/>
      <c r="M342" s="54"/>
    </row>
    <row r="343" spans="2:13" ht="49.5" customHeight="1" x14ac:dyDescent="0.3">
      <c r="B343" s="97"/>
      <c r="C343" s="54"/>
      <c r="D343" s="55"/>
      <c r="E343" s="55"/>
      <c r="F343" s="55"/>
      <c r="G343" s="56"/>
      <c r="H343" s="133"/>
      <c r="I343" s="134"/>
      <c r="J343" s="134"/>
      <c r="K343" s="55"/>
      <c r="L343" s="55"/>
      <c r="M343" s="54"/>
    </row>
    <row r="344" spans="2:13" ht="49.5" customHeight="1" x14ac:dyDescent="0.3">
      <c r="B344" s="97"/>
      <c r="C344" s="54"/>
      <c r="D344" s="55"/>
      <c r="E344" s="55"/>
      <c r="F344" s="55"/>
      <c r="G344" s="56"/>
      <c r="H344" s="133"/>
      <c r="I344" s="134"/>
      <c r="J344" s="134"/>
      <c r="K344" s="55"/>
      <c r="L344" s="55"/>
      <c r="M344" s="54"/>
    </row>
    <row r="345" spans="2:13" ht="49.5" customHeight="1" x14ac:dyDescent="0.3">
      <c r="B345" s="97"/>
      <c r="C345" s="54"/>
      <c r="D345" s="55"/>
      <c r="E345" s="55"/>
      <c r="F345" s="55"/>
      <c r="G345" s="56"/>
      <c r="H345" s="133"/>
      <c r="I345" s="134"/>
      <c r="J345" s="134"/>
      <c r="K345" s="55"/>
      <c r="L345" s="55"/>
      <c r="M345" s="54"/>
    </row>
    <row r="346" spans="2:13" ht="49.5" customHeight="1" x14ac:dyDescent="0.3">
      <c r="B346" s="97"/>
      <c r="C346" s="54"/>
      <c r="D346" s="55"/>
      <c r="E346" s="55"/>
      <c r="F346" s="55"/>
      <c r="G346" s="56"/>
      <c r="H346" s="133"/>
      <c r="I346" s="134"/>
      <c r="J346" s="134"/>
      <c r="K346" s="55"/>
      <c r="L346" s="55"/>
      <c r="M346" s="54"/>
    </row>
    <row r="347" spans="2:13" ht="49.5" customHeight="1" x14ac:dyDescent="0.3">
      <c r="B347" s="97"/>
      <c r="C347" s="54"/>
      <c r="D347" s="55"/>
      <c r="E347" s="55"/>
      <c r="F347" s="55"/>
      <c r="G347" s="56"/>
      <c r="H347" s="133"/>
      <c r="I347" s="134"/>
      <c r="J347" s="134"/>
      <c r="K347" s="55"/>
      <c r="L347" s="55"/>
      <c r="M347" s="54"/>
    </row>
    <row r="348" spans="2:13" ht="49.5" customHeight="1" x14ac:dyDescent="0.3">
      <c r="B348" s="97"/>
      <c r="C348" s="54"/>
      <c r="D348" s="55"/>
      <c r="E348" s="55"/>
      <c r="F348" s="55"/>
      <c r="G348" s="56"/>
      <c r="H348" s="133"/>
      <c r="I348" s="134"/>
      <c r="J348" s="134"/>
      <c r="K348" s="55"/>
      <c r="L348" s="55"/>
      <c r="M348" s="54"/>
    </row>
    <row r="349" spans="2:13" ht="49.5" customHeight="1" x14ac:dyDescent="0.3">
      <c r="B349" s="97"/>
      <c r="C349" s="54"/>
      <c r="D349" s="55"/>
      <c r="E349" s="55"/>
      <c r="F349" s="55"/>
      <c r="G349" s="56"/>
      <c r="H349" s="133"/>
      <c r="I349" s="134"/>
      <c r="J349" s="134"/>
      <c r="K349" s="55"/>
      <c r="L349" s="55"/>
      <c r="M349" s="54"/>
    </row>
    <row r="350" spans="2:13" ht="49.5" customHeight="1" x14ac:dyDescent="0.3">
      <c r="B350" s="97"/>
      <c r="C350" s="54"/>
      <c r="D350" s="55"/>
      <c r="E350" s="55"/>
      <c r="F350" s="55"/>
      <c r="G350" s="56"/>
      <c r="H350" s="133"/>
      <c r="I350" s="134"/>
      <c r="J350" s="134"/>
      <c r="K350" s="55"/>
      <c r="L350" s="55"/>
      <c r="M350" s="54"/>
    </row>
    <row r="351" spans="2:13" ht="49.5" customHeight="1" x14ac:dyDescent="0.3">
      <c r="B351" s="97"/>
      <c r="C351" s="54"/>
      <c r="D351" s="55"/>
      <c r="E351" s="55"/>
      <c r="F351" s="55"/>
      <c r="G351" s="56"/>
      <c r="H351" s="133"/>
      <c r="I351" s="134"/>
      <c r="J351" s="134"/>
      <c r="K351" s="55"/>
      <c r="L351" s="55"/>
      <c r="M351" s="54"/>
    </row>
    <row r="352" spans="2:13" ht="49.5" customHeight="1" x14ac:dyDescent="0.3">
      <c r="B352" s="97"/>
      <c r="C352" s="54"/>
      <c r="D352" s="55"/>
      <c r="E352" s="55"/>
      <c r="F352" s="55"/>
      <c r="G352" s="56"/>
      <c r="H352" s="133"/>
      <c r="I352" s="134"/>
      <c r="J352" s="134"/>
      <c r="K352" s="55"/>
      <c r="L352" s="55"/>
      <c r="M352" s="54"/>
    </row>
    <row r="353" spans="2:13" ht="49.5" customHeight="1" x14ac:dyDescent="0.3">
      <c r="B353" s="97"/>
      <c r="C353" s="54"/>
      <c r="D353" s="55"/>
      <c r="E353" s="55"/>
      <c r="F353" s="55"/>
      <c r="G353" s="56"/>
      <c r="H353" s="133"/>
      <c r="I353" s="134"/>
      <c r="J353" s="134"/>
      <c r="K353" s="55"/>
      <c r="L353" s="55"/>
      <c r="M353" s="54"/>
    </row>
    <row r="354" spans="2:13" ht="49.5" customHeight="1" x14ac:dyDescent="0.3">
      <c r="B354" s="97"/>
      <c r="C354" s="54"/>
      <c r="D354" s="55"/>
      <c r="E354" s="55"/>
      <c r="F354" s="55"/>
      <c r="G354" s="56"/>
      <c r="H354" s="133"/>
      <c r="I354" s="134"/>
      <c r="J354" s="134"/>
      <c r="K354" s="55"/>
      <c r="L354" s="55"/>
      <c r="M354" s="54"/>
    </row>
    <row r="355" spans="2:13" ht="49.5" customHeight="1" x14ac:dyDescent="0.3">
      <c r="B355" s="97"/>
      <c r="C355" s="54"/>
      <c r="D355" s="55"/>
      <c r="E355" s="55"/>
      <c r="F355" s="55"/>
      <c r="G355" s="56"/>
      <c r="H355" s="133"/>
      <c r="I355" s="134"/>
      <c r="J355" s="134"/>
      <c r="K355" s="55"/>
      <c r="L355" s="55"/>
      <c r="M355" s="54"/>
    </row>
    <row r="356" spans="2:13" ht="49.5" customHeight="1" x14ac:dyDescent="0.3">
      <c r="B356" s="97"/>
      <c r="C356" s="54"/>
      <c r="D356" s="55"/>
      <c r="E356" s="55"/>
      <c r="F356" s="55"/>
      <c r="G356" s="56"/>
      <c r="H356" s="133"/>
      <c r="I356" s="134"/>
      <c r="J356" s="134"/>
      <c r="K356" s="55"/>
      <c r="L356" s="55"/>
      <c r="M356" s="54"/>
    </row>
    <row r="357" spans="2:13" ht="49.5" customHeight="1" x14ac:dyDescent="0.3">
      <c r="B357" s="97"/>
      <c r="C357" s="54"/>
      <c r="D357" s="55"/>
      <c r="E357" s="55"/>
      <c r="F357" s="55"/>
      <c r="G357" s="56"/>
      <c r="H357" s="133"/>
      <c r="I357" s="134"/>
      <c r="J357" s="134"/>
      <c r="K357" s="55"/>
      <c r="L357" s="55"/>
      <c r="M357" s="54"/>
    </row>
    <row r="358" spans="2:13" ht="49.5" customHeight="1" x14ac:dyDescent="0.3">
      <c r="B358" s="97"/>
      <c r="C358" s="54"/>
      <c r="D358" s="55"/>
      <c r="E358" s="55"/>
      <c r="F358" s="55"/>
      <c r="G358" s="56"/>
      <c r="H358" s="133"/>
      <c r="I358" s="134"/>
      <c r="J358" s="134"/>
      <c r="K358" s="55"/>
      <c r="L358" s="55"/>
      <c r="M358" s="54"/>
    </row>
    <row r="359" spans="2:13" ht="49.5" customHeight="1" x14ac:dyDescent="0.3">
      <c r="B359" s="97"/>
      <c r="C359" s="54"/>
      <c r="D359" s="55"/>
      <c r="E359" s="55"/>
      <c r="F359" s="55"/>
      <c r="G359" s="56"/>
      <c r="H359" s="133"/>
      <c r="I359" s="134"/>
      <c r="J359" s="134"/>
      <c r="K359" s="55"/>
      <c r="L359" s="55"/>
      <c r="M359" s="54"/>
    </row>
    <row r="360" spans="2:13" ht="49.5" customHeight="1" x14ac:dyDescent="0.3">
      <c r="B360" s="97"/>
      <c r="C360" s="54"/>
      <c r="D360" s="55"/>
      <c r="E360" s="55"/>
      <c r="F360" s="55"/>
      <c r="G360" s="56"/>
      <c r="H360" s="133"/>
      <c r="I360" s="134"/>
      <c r="J360" s="134"/>
      <c r="K360" s="55"/>
      <c r="L360" s="55"/>
      <c r="M360" s="54"/>
    </row>
    <row r="361" spans="2:13" ht="49.5" customHeight="1" x14ac:dyDescent="0.3">
      <c r="B361" s="97"/>
      <c r="C361" s="54"/>
      <c r="D361" s="55"/>
      <c r="E361" s="55"/>
      <c r="F361" s="55"/>
      <c r="G361" s="56"/>
      <c r="H361" s="133"/>
      <c r="I361" s="134"/>
      <c r="J361" s="134"/>
      <c r="K361" s="55"/>
      <c r="L361" s="55"/>
      <c r="M361" s="54"/>
    </row>
    <row r="362" spans="2:13" ht="49.5" customHeight="1" x14ac:dyDescent="0.3">
      <c r="B362" s="97"/>
      <c r="C362" s="54"/>
      <c r="D362" s="55"/>
      <c r="E362" s="55"/>
      <c r="F362" s="55"/>
      <c r="G362" s="56"/>
      <c r="H362" s="133"/>
      <c r="I362" s="134"/>
      <c r="J362" s="134"/>
      <c r="K362" s="55"/>
      <c r="L362" s="55"/>
      <c r="M362" s="54"/>
    </row>
    <row r="363" spans="2:13" ht="49.5" customHeight="1" x14ac:dyDescent="0.3">
      <c r="B363" s="97"/>
      <c r="C363" s="54"/>
      <c r="D363" s="55"/>
      <c r="E363" s="55"/>
      <c r="F363" s="55"/>
      <c r="G363" s="56"/>
      <c r="H363" s="133"/>
      <c r="I363" s="134"/>
      <c r="J363" s="134"/>
      <c r="K363" s="55"/>
      <c r="L363" s="55"/>
      <c r="M363" s="54"/>
    </row>
    <row r="364" spans="2:13" ht="49.5" customHeight="1" x14ac:dyDescent="0.3">
      <c r="B364" s="97"/>
      <c r="C364" s="54"/>
      <c r="D364" s="55"/>
      <c r="E364" s="55"/>
      <c r="F364" s="55"/>
      <c r="G364" s="56"/>
      <c r="H364" s="133"/>
      <c r="I364" s="134"/>
      <c r="J364" s="134"/>
      <c r="K364" s="55"/>
      <c r="L364" s="55"/>
      <c r="M364" s="54"/>
    </row>
    <row r="365" spans="2:13" ht="49.5" customHeight="1" x14ac:dyDescent="0.3">
      <c r="B365" s="97"/>
      <c r="C365" s="54"/>
      <c r="D365" s="55"/>
      <c r="E365" s="55"/>
      <c r="F365" s="55"/>
      <c r="G365" s="56"/>
      <c r="H365" s="133"/>
      <c r="I365" s="134"/>
      <c r="J365" s="134"/>
      <c r="K365" s="55"/>
      <c r="L365" s="55"/>
      <c r="M365" s="54"/>
    </row>
    <row r="366" spans="2:13" ht="49.5" customHeight="1" x14ac:dyDescent="0.3">
      <c r="B366" s="97"/>
      <c r="C366" s="54"/>
      <c r="D366" s="55"/>
      <c r="E366" s="55"/>
      <c r="F366" s="55"/>
      <c r="G366" s="56"/>
      <c r="H366" s="133"/>
      <c r="I366" s="134"/>
      <c r="J366" s="134"/>
      <c r="K366" s="55"/>
      <c r="L366" s="55"/>
      <c r="M366" s="54"/>
    </row>
    <row r="367" spans="2:13" ht="49.5" customHeight="1" x14ac:dyDescent="0.3">
      <c r="B367" s="97"/>
      <c r="C367" s="54"/>
      <c r="D367" s="55"/>
      <c r="E367" s="55"/>
      <c r="F367" s="55"/>
      <c r="G367" s="56"/>
      <c r="H367" s="133"/>
      <c r="I367" s="134"/>
      <c r="J367" s="134"/>
      <c r="K367" s="55"/>
      <c r="L367" s="55"/>
      <c r="M367" s="54"/>
    </row>
    <row r="368" spans="2:13" ht="49.5" customHeight="1" x14ac:dyDescent="0.3">
      <c r="B368" s="97"/>
      <c r="C368" s="54"/>
      <c r="D368" s="55"/>
      <c r="E368" s="55"/>
      <c r="F368" s="55"/>
      <c r="G368" s="56"/>
      <c r="H368" s="133"/>
      <c r="I368" s="134"/>
      <c r="J368" s="134"/>
      <c r="K368" s="55"/>
      <c r="L368" s="55"/>
      <c r="M368" s="54"/>
    </row>
    <row r="369" spans="2:13" ht="49.5" customHeight="1" x14ac:dyDescent="0.3">
      <c r="B369" s="97"/>
      <c r="C369" s="54"/>
      <c r="D369" s="55"/>
      <c r="E369" s="55"/>
      <c r="F369" s="55"/>
      <c r="G369" s="56"/>
      <c r="H369" s="133"/>
      <c r="I369" s="134"/>
      <c r="J369" s="134"/>
      <c r="K369" s="55"/>
      <c r="L369" s="55"/>
      <c r="M369" s="54"/>
    </row>
    <row r="370" spans="2:13" ht="49.5" customHeight="1" x14ac:dyDescent="0.3">
      <c r="B370" s="97"/>
      <c r="C370" s="54"/>
      <c r="D370" s="55"/>
      <c r="E370" s="55"/>
      <c r="F370" s="55"/>
      <c r="G370" s="56"/>
      <c r="H370" s="133"/>
      <c r="I370" s="134"/>
      <c r="J370" s="134"/>
      <c r="K370" s="55"/>
      <c r="L370" s="55"/>
      <c r="M370" s="54"/>
    </row>
    <row r="371" spans="2:13" ht="49.5" customHeight="1" x14ac:dyDescent="0.3">
      <c r="B371" s="97"/>
      <c r="C371" s="54"/>
      <c r="D371" s="55"/>
      <c r="E371" s="55"/>
      <c r="F371" s="55"/>
      <c r="G371" s="56"/>
      <c r="H371" s="133"/>
      <c r="I371" s="134"/>
      <c r="J371" s="134"/>
      <c r="K371" s="55"/>
      <c r="L371" s="55"/>
      <c r="M371" s="54"/>
    </row>
    <row r="372" spans="2:13" ht="49.5" customHeight="1" x14ac:dyDescent="0.3">
      <c r="B372" s="97"/>
      <c r="C372" s="54"/>
      <c r="D372" s="55"/>
      <c r="E372" s="55"/>
      <c r="F372" s="55"/>
      <c r="G372" s="56"/>
      <c r="H372" s="133"/>
      <c r="I372" s="134"/>
      <c r="J372" s="134"/>
      <c r="K372" s="55"/>
      <c r="L372" s="55"/>
      <c r="M372" s="54"/>
    </row>
    <row r="373" spans="2:13" ht="49.5" customHeight="1" x14ac:dyDescent="0.3">
      <c r="B373" s="97"/>
      <c r="C373" s="54"/>
      <c r="D373" s="55"/>
      <c r="E373" s="55"/>
      <c r="F373" s="55"/>
      <c r="G373" s="56"/>
      <c r="H373" s="133"/>
      <c r="I373" s="134"/>
      <c r="J373" s="134"/>
      <c r="K373" s="55"/>
      <c r="L373" s="55"/>
      <c r="M373" s="54"/>
    </row>
    <row r="374" spans="2:13" ht="49.5" customHeight="1" x14ac:dyDescent="0.3">
      <c r="B374" s="97"/>
      <c r="C374" s="54"/>
      <c r="D374" s="55"/>
      <c r="E374" s="55"/>
      <c r="F374" s="55"/>
      <c r="G374" s="56"/>
      <c r="H374" s="133"/>
      <c r="I374" s="134"/>
      <c r="J374" s="134"/>
      <c r="K374" s="55"/>
      <c r="L374" s="55"/>
      <c r="M374" s="54"/>
    </row>
    <row r="375" spans="2:13" ht="49.5" customHeight="1" x14ac:dyDescent="0.3">
      <c r="B375" s="97"/>
      <c r="C375" s="54"/>
      <c r="D375" s="55"/>
      <c r="E375" s="55"/>
      <c r="F375" s="55"/>
      <c r="G375" s="56"/>
      <c r="H375" s="133"/>
      <c r="I375" s="134"/>
      <c r="J375" s="134"/>
      <c r="K375" s="55"/>
      <c r="L375" s="55"/>
      <c r="M375" s="54"/>
    </row>
    <row r="376" spans="2:13" ht="49.5" customHeight="1" x14ac:dyDescent="0.3">
      <c r="B376" s="97"/>
      <c r="C376" s="54"/>
      <c r="D376" s="55"/>
      <c r="E376" s="55"/>
      <c r="F376" s="55"/>
      <c r="G376" s="56"/>
      <c r="H376" s="133"/>
      <c r="I376" s="134"/>
      <c r="J376" s="134"/>
      <c r="K376" s="55"/>
      <c r="L376" s="55"/>
      <c r="M376" s="54"/>
    </row>
    <row r="377" spans="2:13" ht="49.5" customHeight="1" x14ac:dyDescent="0.3">
      <c r="B377" s="97"/>
      <c r="C377" s="54"/>
      <c r="D377" s="55"/>
      <c r="E377" s="55"/>
      <c r="F377" s="55"/>
      <c r="G377" s="56"/>
      <c r="H377" s="133"/>
      <c r="I377" s="134"/>
      <c r="J377" s="134"/>
      <c r="K377" s="55"/>
      <c r="L377" s="55"/>
      <c r="M377" s="54"/>
    </row>
    <row r="378" spans="2:13" ht="49.5" customHeight="1" x14ac:dyDescent="0.3">
      <c r="B378" s="97"/>
      <c r="C378" s="54"/>
      <c r="D378" s="55"/>
      <c r="E378" s="55"/>
      <c r="F378" s="55"/>
      <c r="G378" s="56"/>
      <c r="H378" s="133"/>
      <c r="I378" s="134"/>
      <c r="J378" s="134"/>
      <c r="K378" s="55"/>
      <c r="L378" s="55"/>
      <c r="M378" s="54"/>
    </row>
    <row r="379" spans="2:13" ht="49.5" customHeight="1" x14ac:dyDescent="0.3">
      <c r="B379" s="97"/>
      <c r="C379" s="54"/>
      <c r="D379" s="55"/>
      <c r="E379" s="55"/>
      <c r="F379" s="55"/>
      <c r="G379" s="56"/>
      <c r="H379" s="133"/>
      <c r="I379" s="134"/>
      <c r="J379" s="134"/>
      <c r="K379" s="55"/>
      <c r="L379" s="55"/>
      <c r="M379" s="54"/>
    </row>
    <row r="380" spans="2:13" ht="49.5" customHeight="1" x14ac:dyDescent="0.3">
      <c r="B380" s="97"/>
      <c r="C380" s="54"/>
      <c r="D380" s="55"/>
      <c r="E380" s="55"/>
      <c r="F380" s="55"/>
      <c r="G380" s="56"/>
      <c r="H380" s="133"/>
      <c r="I380" s="134"/>
      <c r="J380" s="134"/>
      <c r="K380" s="55"/>
      <c r="L380" s="55"/>
      <c r="M380" s="54"/>
    </row>
    <row r="381" spans="2:13" ht="49.5" customHeight="1" x14ac:dyDescent="0.3">
      <c r="B381" s="97"/>
      <c r="C381" s="54"/>
      <c r="D381" s="55"/>
      <c r="E381" s="55"/>
      <c r="F381" s="55"/>
      <c r="G381" s="56"/>
      <c r="H381" s="133"/>
      <c r="I381" s="134"/>
      <c r="J381" s="134"/>
      <c r="K381" s="55"/>
      <c r="L381" s="55"/>
      <c r="M381" s="54"/>
    </row>
    <row r="382" spans="2:13" ht="49.5" customHeight="1" x14ac:dyDescent="0.3">
      <c r="B382" s="97"/>
      <c r="C382" s="54"/>
      <c r="D382" s="55"/>
      <c r="E382" s="55"/>
      <c r="F382" s="55"/>
      <c r="G382" s="56"/>
      <c r="H382" s="133"/>
      <c r="I382" s="134"/>
      <c r="J382" s="134"/>
      <c r="K382" s="55"/>
      <c r="L382" s="55"/>
      <c r="M382" s="54"/>
    </row>
    <row r="383" spans="2:13" ht="49.5" customHeight="1" x14ac:dyDescent="0.3">
      <c r="B383" s="97"/>
      <c r="C383" s="54"/>
      <c r="D383" s="55"/>
      <c r="E383" s="55"/>
      <c r="F383" s="55"/>
      <c r="G383" s="56"/>
      <c r="H383" s="133"/>
      <c r="I383" s="134"/>
      <c r="J383" s="134"/>
      <c r="K383" s="55"/>
      <c r="L383" s="55"/>
      <c r="M383" s="54"/>
    </row>
    <row r="384" spans="2:13" ht="49.5" customHeight="1" x14ac:dyDescent="0.3">
      <c r="B384" s="97"/>
      <c r="C384" s="54"/>
      <c r="D384" s="55"/>
      <c r="E384" s="55"/>
      <c r="F384" s="55"/>
      <c r="G384" s="56"/>
      <c r="H384" s="133"/>
      <c r="I384" s="134"/>
      <c r="J384" s="134"/>
      <c r="K384" s="55"/>
      <c r="L384" s="55"/>
      <c r="M384" s="54"/>
    </row>
    <row r="385" spans="2:13" ht="49.5" customHeight="1" x14ac:dyDescent="0.3">
      <c r="B385" s="97"/>
      <c r="C385" s="54"/>
      <c r="D385" s="55"/>
      <c r="E385" s="55"/>
      <c r="F385" s="55"/>
      <c r="G385" s="56"/>
      <c r="H385" s="133"/>
      <c r="I385" s="134"/>
      <c r="J385" s="134"/>
      <c r="K385" s="55"/>
      <c r="L385" s="55"/>
      <c r="M385" s="54"/>
    </row>
    <row r="386" spans="2:13" ht="49.5" customHeight="1" x14ac:dyDescent="0.3">
      <c r="B386" s="97"/>
      <c r="C386" s="54"/>
      <c r="D386" s="55"/>
      <c r="E386" s="55"/>
      <c r="F386" s="55"/>
      <c r="G386" s="56"/>
      <c r="H386" s="133"/>
      <c r="I386" s="134"/>
      <c r="J386" s="134"/>
      <c r="K386" s="55"/>
      <c r="L386" s="55"/>
      <c r="M386" s="54"/>
    </row>
    <row r="387" spans="2:13" ht="49.5" customHeight="1" x14ac:dyDescent="0.3">
      <c r="B387" s="97"/>
      <c r="C387" s="54"/>
      <c r="D387" s="55"/>
      <c r="E387" s="55"/>
      <c r="F387" s="55"/>
      <c r="G387" s="56"/>
      <c r="H387" s="133"/>
      <c r="I387" s="134"/>
      <c r="J387" s="134"/>
      <c r="K387" s="55"/>
      <c r="L387" s="55"/>
      <c r="M387" s="54"/>
    </row>
    <row r="388" spans="2:13" ht="49.5" customHeight="1" x14ac:dyDescent="0.3">
      <c r="B388" s="97"/>
      <c r="C388" s="54"/>
      <c r="D388" s="55"/>
      <c r="E388" s="55"/>
      <c r="F388" s="55"/>
      <c r="G388" s="56"/>
      <c r="H388" s="133"/>
      <c r="I388" s="134"/>
      <c r="J388" s="134"/>
      <c r="K388" s="55"/>
      <c r="L388" s="55"/>
      <c r="M388" s="54"/>
    </row>
    <row r="389" spans="2:13" ht="49.5" customHeight="1" x14ac:dyDescent="0.3">
      <c r="B389" s="97"/>
      <c r="C389" s="54"/>
      <c r="D389" s="55"/>
      <c r="E389" s="55"/>
      <c r="F389" s="55"/>
      <c r="G389" s="56"/>
      <c r="H389" s="133"/>
      <c r="I389" s="134"/>
      <c r="J389" s="134"/>
      <c r="K389" s="55"/>
      <c r="L389" s="55"/>
      <c r="M389" s="54"/>
    </row>
    <row r="390" spans="2:13" ht="49.5" customHeight="1" x14ac:dyDescent="0.3">
      <c r="B390" s="97"/>
      <c r="C390" s="54"/>
      <c r="D390" s="55"/>
      <c r="E390" s="55"/>
      <c r="F390" s="55"/>
      <c r="G390" s="56"/>
      <c r="H390" s="133"/>
      <c r="I390" s="134"/>
      <c r="J390" s="134"/>
      <c r="K390" s="55"/>
      <c r="L390" s="55"/>
      <c r="M390" s="54"/>
    </row>
    <row r="391" spans="2:13" ht="49.5" customHeight="1" x14ac:dyDescent="0.3">
      <c r="B391" s="97"/>
      <c r="C391" s="54"/>
      <c r="D391" s="55"/>
      <c r="E391" s="55"/>
      <c r="F391" s="55"/>
      <c r="G391" s="56"/>
      <c r="H391" s="133"/>
      <c r="I391" s="134"/>
      <c r="J391" s="134"/>
      <c r="K391" s="55"/>
      <c r="L391" s="55"/>
      <c r="M391" s="54"/>
    </row>
    <row r="392" spans="2:13" ht="49.5" customHeight="1" x14ac:dyDescent="0.3">
      <c r="B392" s="97"/>
      <c r="C392" s="54"/>
      <c r="D392" s="55"/>
      <c r="E392" s="55"/>
      <c r="F392" s="55"/>
      <c r="G392" s="56"/>
      <c r="H392" s="133"/>
      <c r="I392" s="134"/>
      <c r="J392" s="134"/>
      <c r="K392" s="55"/>
      <c r="L392" s="55"/>
      <c r="M392" s="54"/>
    </row>
    <row r="393" spans="2:13" ht="49.5" customHeight="1" x14ac:dyDescent="0.3">
      <c r="B393" s="97"/>
      <c r="C393" s="54"/>
      <c r="D393" s="55"/>
      <c r="E393" s="55"/>
      <c r="F393" s="55"/>
      <c r="G393" s="56"/>
      <c r="H393" s="133"/>
      <c r="I393" s="134"/>
      <c r="J393" s="134"/>
      <c r="K393" s="55"/>
      <c r="L393" s="55"/>
      <c r="M393" s="54"/>
    </row>
    <row r="394" spans="2:13" ht="49.5" customHeight="1" x14ac:dyDescent="0.3">
      <c r="B394" s="97"/>
      <c r="C394" s="54"/>
      <c r="D394" s="55"/>
      <c r="E394" s="55"/>
      <c r="F394" s="55"/>
      <c r="G394" s="56"/>
      <c r="H394" s="133"/>
      <c r="I394" s="134"/>
      <c r="J394" s="134"/>
      <c r="K394" s="55"/>
      <c r="L394" s="55"/>
      <c r="M394" s="54"/>
    </row>
    <row r="395" spans="2:13" ht="49.5" customHeight="1" x14ac:dyDescent="0.3">
      <c r="B395" s="97"/>
      <c r="C395" s="54"/>
      <c r="D395" s="55"/>
      <c r="E395" s="55"/>
      <c r="F395" s="55"/>
      <c r="G395" s="56"/>
      <c r="H395" s="133"/>
      <c r="I395" s="134"/>
      <c r="J395" s="134"/>
      <c r="K395" s="55"/>
      <c r="L395" s="55"/>
      <c r="M395" s="54"/>
    </row>
    <row r="396" spans="2:13" ht="49.5" customHeight="1" x14ac:dyDescent="0.3">
      <c r="B396" s="97"/>
      <c r="C396" s="54"/>
      <c r="D396" s="55"/>
      <c r="E396" s="55"/>
      <c r="F396" s="55"/>
      <c r="G396" s="56"/>
      <c r="H396" s="133"/>
      <c r="I396" s="134"/>
      <c r="J396" s="134"/>
      <c r="K396" s="55"/>
      <c r="L396" s="55"/>
      <c r="M396" s="54"/>
    </row>
    <row r="397" spans="2:13" ht="49.5" customHeight="1" x14ac:dyDescent="0.3">
      <c r="B397" s="97"/>
      <c r="C397" s="54"/>
      <c r="D397" s="55"/>
      <c r="E397" s="55"/>
      <c r="F397" s="55"/>
      <c r="G397" s="56"/>
      <c r="H397" s="133"/>
      <c r="I397" s="134"/>
      <c r="J397" s="134"/>
      <c r="K397" s="55"/>
      <c r="L397" s="55"/>
      <c r="M397" s="54"/>
    </row>
    <row r="398" spans="2:13" ht="49.5" customHeight="1" x14ac:dyDescent="0.3">
      <c r="B398" s="97"/>
      <c r="C398" s="54"/>
      <c r="D398" s="55"/>
      <c r="E398" s="55"/>
      <c r="F398" s="55"/>
      <c r="G398" s="56"/>
      <c r="H398" s="133"/>
      <c r="I398" s="134"/>
      <c r="J398" s="134"/>
      <c r="K398" s="55"/>
      <c r="L398" s="55"/>
      <c r="M398" s="54"/>
    </row>
    <row r="399" spans="2:13" ht="49.5" customHeight="1" x14ac:dyDescent="0.3">
      <c r="B399" s="97"/>
      <c r="C399" s="54"/>
      <c r="D399" s="55"/>
      <c r="E399" s="55"/>
      <c r="F399" s="55"/>
      <c r="G399" s="56"/>
      <c r="H399" s="133"/>
      <c r="I399" s="134"/>
      <c r="J399" s="134"/>
      <c r="K399" s="55"/>
      <c r="L399" s="55"/>
      <c r="M399" s="54"/>
    </row>
    <row r="400" spans="2:13" ht="49.5" customHeight="1" x14ac:dyDescent="0.3">
      <c r="B400" s="97"/>
      <c r="C400" s="54"/>
      <c r="D400" s="55"/>
      <c r="E400" s="55"/>
      <c r="F400" s="55"/>
      <c r="G400" s="56"/>
      <c r="H400" s="133"/>
      <c r="I400" s="134"/>
      <c r="J400" s="134"/>
      <c r="K400" s="55"/>
      <c r="L400" s="55"/>
      <c r="M400" s="54"/>
    </row>
    <row r="401" spans="2:13" ht="49.5" customHeight="1" x14ac:dyDescent="0.3">
      <c r="B401" s="97"/>
      <c r="C401" s="54"/>
      <c r="D401" s="55"/>
      <c r="E401" s="55"/>
      <c r="F401" s="55"/>
      <c r="G401" s="56"/>
      <c r="H401" s="133"/>
      <c r="I401" s="134"/>
      <c r="J401" s="134"/>
      <c r="K401" s="55"/>
      <c r="L401" s="55"/>
      <c r="M401" s="54"/>
    </row>
    <row r="402" spans="2:13" ht="49.5" customHeight="1" x14ac:dyDescent="0.3">
      <c r="B402" s="97"/>
      <c r="C402" s="54"/>
      <c r="D402" s="55"/>
      <c r="E402" s="55"/>
      <c r="F402" s="55"/>
      <c r="G402" s="56"/>
      <c r="H402" s="133"/>
      <c r="I402" s="134"/>
      <c r="J402" s="134"/>
      <c r="K402" s="55"/>
      <c r="L402" s="55"/>
      <c r="M402" s="54"/>
    </row>
    <row r="403" spans="2:13" ht="49.5" customHeight="1" x14ac:dyDescent="0.3">
      <c r="B403" s="97"/>
      <c r="C403" s="54"/>
      <c r="D403" s="55"/>
      <c r="E403" s="55"/>
      <c r="F403" s="55"/>
      <c r="G403" s="56"/>
      <c r="H403" s="133"/>
      <c r="I403" s="134"/>
      <c r="J403" s="134"/>
      <c r="K403" s="55"/>
      <c r="L403" s="55"/>
      <c r="M403" s="54"/>
    </row>
    <row r="404" spans="2:13" ht="49.5" customHeight="1" x14ac:dyDescent="0.3">
      <c r="B404" s="97"/>
      <c r="C404" s="54"/>
      <c r="D404" s="55"/>
      <c r="E404" s="55"/>
      <c r="F404" s="55"/>
      <c r="G404" s="56"/>
      <c r="H404" s="133"/>
      <c r="I404" s="134"/>
      <c r="J404" s="134"/>
      <c r="K404" s="55"/>
      <c r="L404" s="55"/>
      <c r="M404" s="54"/>
    </row>
    <row r="405" spans="2:13" ht="49.5" customHeight="1" x14ac:dyDescent="0.3">
      <c r="B405" s="97"/>
      <c r="C405" s="54"/>
      <c r="D405" s="55"/>
      <c r="E405" s="55"/>
      <c r="F405" s="55"/>
      <c r="G405" s="56"/>
      <c r="H405" s="133"/>
      <c r="I405" s="134"/>
      <c r="J405" s="134"/>
      <c r="K405" s="55"/>
      <c r="L405" s="55"/>
      <c r="M405" s="54"/>
    </row>
    <row r="406" spans="2:13" ht="49.5" customHeight="1" x14ac:dyDescent="0.3">
      <c r="B406" s="97"/>
      <c r="C406" s="54"/>
      <c r="D406" s="55"/>
      <c r="E406" s="55"/>
      <c r="F406" s="55"/>
      <c r="G406" s="56"/>
      <c r="H406" s="133"/>
      <c r="I406" s="134"/>
      <c r="J406" s="134"/>
      <c r="K406" s="55"/>
      <c r="L406" s="55"/>
      <c r="M406" s="54"/>
    </row>
    <row r="407" spans="2:13" ht="49.5" customHeight="1" x14ac:dyDescent="0.3">
      <c r="B407" s="97"/>
      <c r="C407" s="54"/>
      <c r="D407" s="55"/>
      <c r="E407" s="55"/>
      <c r="F407" s="55"/>
      <c r="G407" s="56"/>
      <c r="H407" s="133"/>
      <c r="I407" s="134"/>
      <c r="J407" s="134"/>
      <c r="K407" s="55"/>
      <c r="L407" s="55"/>
      <c r="M407" s="54"/>
    </row>
    <row r="408" spans="2:13" ht="49.5" customHeight="1" x14ac:dyDescent="0.3">
      <c r="B408" s="97"/>
      <c r="C408" s="54"/>
      <c r="D408" s="55"/>
      <c r="E408" s="55"/>
      <c r="F408" s="55"/>
      <c r="G408" s="56"/>
      <c r="H408" s="133"/>
      <c r="I408" s="134"/>
      <c r="J408" s="134"/>
      <c r="K408" s="55"/>
      <c r="L408" s="55"/>
      <c r="M408" s="54"/>
    </row>
    <row r="409" spans="2:13" ht="49.5" customHeight="1" x14ac:dyDescent="0.3">
      <c r="B409" s="97"/>
      <c r="C409" s="54"/>
      <c r="D409" s="55"/>
      <c r="E409" s="55"/>
      <c r="F409" s="55"/>
      <c r="G409" s="56"/>
      <c r="H409" s="133"/>
      <c r="I409" s="134"/>
      <c r="J409" s="134"/>
      <c r="K409" s="55"/>
      <c r="L409" s="55"/>
      <c r="M409" s="54"/>
    </row>
    <row r="410" spans="2:13" ht="49.5" customHeight="1" x14ac:dyDescent="0.3">
      <c r="B410" s="97"/>
      <c r="C410" s="54"/>
      <c r="D410" s="55"/>
      <c r="E410" s="55"/>
      <c r="F410" s="55"/>
      <c r="G410" s="56"/>
      <c r="H410" s="133"/>
      <c r="I410" s="134"/>
      <c r="J410" s="134"/>
      <c r="K410" s="55"/>
      <c r="L410" s="55"/>
      <c r="M410" s="54"/>
    </row>
    <row r="411" spans="2:13" ht="49.5" customHeight="1" x14ac:dyDescent="0.3">
      <c r="B411" s="97"/>
      <c r="C411" s="54"/>
      <c r="D411" s="55"/>
      <c r="E411" s="55"/>
      <c r="F411" s="55"/>
      <c r="G411" s="56"/>
      <c r="H411" s="133"/>
      <c r="I411" s="134"/>
      <c r="J411" s="134"/>
      <c r="K411" s="55"/>
      <c r="L411" s="55"/>
      <c r="M411" s="54"/>
    </row>
    <row r="412" spans="2:13" ht="49.5" customHeight="1" x14ac:dyDescent="0.3">
      <c r="B412" s="97"/>
      <c r="C412" s="54"/>
      <c r="D412" s="55"/>
      <c r="E412" s="55"/>
      <c r="F412" s="55"/>
      <c r="G412" s="56"/>
      <c r="H412" s="133"/>
      <c r="I412" s="134"/>
      <c r="J412" s="134"/>
      <c r="K412" s="55"/>
      <c r="L412" s="55"/>
      <c r="M412" s="54"/>
    </row>
    <row r="413" spans="2:13" ht="49.5" customHeight="1" x14ac:dyDescent="0.3">
      <c r="B413" s="97"/>
      <c r="C413" s="54"/>
      <c r="D413" s="55"/>
      <c r="E413" s="55"/>
      <c r="F413" s="55"/>
      <c r="G413" s="56"/>
      <c r="H413" s="133"/>
      <c r="I413" s="134"/>
      <c r="J413" s="134"/>
      <c r="K413" s="55"/>
      <c r="L413" s="55"/>
      <c r="M413" s="54"/>
    </row>
    <row r="414" spans="2:13" ht="49.5" customHeight="1" x14ac:dyDescent="0.3">
      <c r="B414" s="97"/>
      <c r="C414" s="54"/>
      <c r="D414" s="55"/>
      <c r="E414" s="55"/>
      <c r="F414" s="55"/>
      <c r="G414" s="56"/>
      <c r="H414" s="133"/>
      <c r="I414" s="134"/>
      <c r="J414" s="134"/>
      <c r="K414" s="55"/>
      <c r="L414" s="55"/>
      <c r="M414" s="54"/>
    </row>
    <row r="415" spans="2:13" ht="49.5" customHeight="1" x14ac:dyDescent="0.3">
      <c r="B415" s="97"/>
      <c r="C415" s="54"/>
      <c r="D415" s="55"/>
      <c r="E415" s="55"/>
      <c r="F415" s="55"/>
      <c r="G415" s="56"/>
      <c r="H415" s="133"/>
      <c r="I415" s="134"/>
      <c r="J415" s="134"/>
      <c r="K415" s="55"/>
      <c r="L415" s="55"/>
      <c r="M415" s="54"/>
    </row>
    <row r="416" spans="2:13" ht="49.5" customHeight="1" x14ac:dyDescent="0.3">
      <c r="B416" s="97"/>
      <c r="C416" s="54"/>
      <c r="D416" s="55"/>
      <c r="E416" s="55"/>
      <c r="F416" s="55"/>
      <c r="G416" s="56"/>
      <c r="H416" s="133"/>
      <c r="I416" s="134"/>
      <c r="J416" s="134"/>
      <c r="K416" s="55"/>
      <c r="L416" s="55"/>
      <c r="M416" s="54"/>
    </row>
    <row r="417" spans="2:13" ht="49.5" customHeight="1" x14ac:dyDescent="0.3">
      <c r="B417" s="97"/>
      <c r="C417" s="54"/>
      <c r="D417" s="55"/>
      <c r="E417" s="55"/>
      <c r="F417" s="55"/>
      <c r="G417" s="56"/>
      <c r="H417" s="133"/>
      <c r="I417" s="134"/>
      <c r="J417" s="134"/>
      <c r="K417" s="55"/>
      <c r="L417" s="55"/>
      <c r="M417" s="54"/>
    </row>
    <row r="418" spans="2:13" ht="49.5" customHeight="1" x14ac:dyDescent="0.3">
      <c r="B418" s="97"/>
      <c r="C418" s="54"/>
      <c r="D418" s="55"/>
      <c r="E418" s="55"/>
      <c r="F418" s="55"/>
      <c r="G418" s="56"/>
      <c r="H418" s="133"/>
      <c r="I418" s="134"/>
      <c r="J418" s="134"/>
      <c r="K418" s="55"/>
      <c r="L418" s="55"/>
      <c r="M418" s="54"/>
    </row>
    <row r="419" spans="2:13" ht="49.5" customHeight="1" x14ac:dyDescent="0.3">
      <c r="B419" s="97"/>
      <c r="C419" s="54"/>
      <c r="D419" s="55"/>
      <c r="E419" s="55"/>
      <c r="F419" s="55"/>
      <c r="G419" s="56"/>
      <c r="H419" s="133"/>
      <c r="I419" s="134"/>
      <c r="J419" s="134"/>
      <c r="K419" s="55"/>
      <c r="L419" s="55"/>
      <c r="M419" s="54"/>
    </row>
    <row r="420" spans="2:13" ht="49.5" customHeight="1" x14ac:dyDescent="0.3">
      <c r="B420" s="97"/>
      <c r="C420" s="54"/>
      <c r="D420" s="55"/>
      <c r="E420" s="55"/>
      <c r="F420" s="55"/>
      <c r="G420" s="56"/>
      <c r="H420" s="133"/>
      <c r="I420" s="134"/>
      <c r="J420" s="134"/>
      <c r="K420" s="55"/>
      <c r="L420" s="55"/>
      <c r="M420" s="54"/>
    </row>
    <row r="421" spans="2:13" ht="49.5" customHeight="1" x14ac:dyDescent="0.3">
      <c r="B421" s="97"/>
      <c r="C421" s="54"/>
      <c r="D421" s="55"/>
      <c r="E421" s="55"/>
      <c r="F421" s="55"/>
      <c r="G421" s="56"/>
      <c r="H421" s="133"/>
      <c r="I421" s="134"/>
      <c r="J421" s="134"/>
      <c r="K421" s="55"/>
      <c r="L421" s="55"/>
      <c r="M421" s="54"/>
    </row>
    <row r="422" spans="2:13" ht="49.5" customHeight="1" x14ac:dyDescent="0.3">
      <c r="B422" s="97"/>
      <c r="C422" s="54"/>
      <c r="D422" s="55"/>
      <c r="E422" s="55"/>
      <c r="F422" s="55"/>
      <c r="G422" s="56"/>
      <c r="H422" s="133"/>
      <c r="I422" s="134"/>
      <c r="J422" s="134"/>
      <c r="K422" s="55"/>
      <c r="L422" s="55"/>
      <c r="M422" s="54"/>
    </row>
    <row r="423" spans="2:13" ht="49.5" customHeight="1" x14ac:dyDescent="0.3">
      <c r="B423" s="97"/>
      <c r="C423" s="54"/>
      <c r="D423" s="55"/>
      <c r="E423" s="55"/>
      <c r="F423" s="55"/>
      <c r="G423" s="56"/>
      <c r="H423" s="133"/>
      <c r="I423" s="134"/>
      <c r="J423" s="134"/>
      <c r="K423" s="55"/>
      <c r="L423" s="55"/>
      <c r="M423" s="54"/>
    </row>
    <row r="424" spans="2:13" ht="49.5" customHeight="1" x14ac:dyDescent="0.3">
      <c r="B424" s="97"/>
      <c r="C424" s="54"/>
      <c r="D424" s="55"/>
      <c r="E424" s="55"/>
      <c r="F424" s="55"/>
      <c r="G424" s="56"/>
      <c r="H424" s="133"/>
      <c r="I424" s="134"/>
      <c r="J424" s="134"/>
      <c r="K424" s="55"/>
      <c r="L424" s="55"/>
      <c r="M424" s="54"/>
    </row>
    <row r="425" spans="2:13" ht="49.5" customHeight="1" x14ac:dyDescent="0.3">
      <c r="B425" s="97"/>
      <c r="C425" s="54"/>
      <c r="D425" s="55"/>
      <c r="E425" s="55"/>
      <c r="F425" s="55"/>
      <c r="G425" s="56"/>
      <c r="H425" s="133"/>
      <c r="I425" s="134"/>
      <c r="J425" s="134"/>
      <c r="K425" s="55"/>
      <c r="L425" s="55"/>
      <c r="M425" s="54"/>
    </row>
    <row r="426" spans="2:13" ht="49.5" customHeight="1" x14ac:dyDescent="0.3">
      <c r="B426" s="97"/>
      <c r="C426" s="54"/>
      <c r="D426" s="55"/>
      <c r="E426" s="55"/>
      <c r="F426" s="55"/>
      <c r="G426" s="56"/>
      <c r="H426" s="133"/>
      <c r="I426" s="134"/>
      <c r="J426" s="134"/>
      <c r="K426" s="55"/>
      <c r="L426" s="55"/>
      <c r="M426" s="54"/>
    </row>
    <row r="427" spans="2:13" ht="49.5" customHeight="1" x14ac:dyDescent="0.3">
      <c r="B427" s="97"/>
      <c r="C427" s="54"/>
      <c r="D427" s="55"/>
      <c r="E427" s="55"/>
      <c r="F427" s="55"/>
      <c r="G427" s="56"/>
      <c r="H427" s="133"/>
      <c r="I427" s="134"/>
      <c r="J427" s="134"/>
      <c r="K427" s="55"/>
      <c r="L427" s="55"/>
      <c r="M427" s="54"/>
    </row>
    <row r="428" spans="2:13" ht="49.5" customHeight="1" x14ac:dyDescent="0.3">
      <c r="B428" s="97"/>
      <c r="C428" s="54"/>
      <c r="D428" s="55"/>
      <c r="E428" s="55"/>
      <c r="F428" s="55"/>
      <c r="G428" s="56"/>
      <c r="H428" s="133"/>
      <c r="I428" s="134"/>
      <c r="J428" s="134"/>
      <c r="K428" s="55"/>
      <c r="L428" s="55"/>
      <c r="M428" s="54"/>
    </row>
    <row r="429" spans="2:13" ht="49.5" customHeight="1" x14ac:dyDescent="0.3">
      <c r="B429" s="97"/>
      <c r="C429" s="54"/>
      <c r="D429" s="55"/>
      <c r="E429" s="55"/>
      <c r="F429" s="55"/>
      <c r="G429" s="56"/>
      <c r="H429" s="133"/>
      <c r="I429" s="134"/>
      <c r="J429" s="134"/>
      <c r="K429" s="55"/>
      <c r="L429" s="55"/>
      <c r="M429" s="54"/>
    </row>
    <row r="430" spans="2:13" ht="49.5" customHeight="1" x14ac:dyDescent="0.3">
      <c r="B430" s="97"/>
      <c r="C430" s="54"/>
      <c r="D430" s="55"/>
      <c r="E430" s="55"/>
      <c r="F430" s="55"/>
      <c r="G430" s="56"/>
      <c r="H430" s="133"/>
      <c r="I430" s="134"/>
      <c r="J430" s="134"/>
      <c r="K430" s="55"/>
      <c r="L430" s="55"/>
      <c r="M430" s="54"/>
    </row>
    <row r="431" spans="2:13" ht="49.5" customHeight="1" x14ac:dyDescent="0.3">
      <c r="B431" s="97"/>
      <c r="C431" s="54"/>
      <c r="D431" s="55"/>
      <c r="E431" s="55"/>
      <c r="F431" s="55"/>
      <c r="G431" s="56"/>
      <c r="H431" s="133"/>
      <c r="I431" s="134"/>
      <c r="J431" s="134"/>
      <c r="K431" s="55"/>
      <c r="L431" s="55"/>
      <c r="M431" s="54"/>
    </row>
    <row r="432" spans="2:13" ht="49.5" customHeight="1" x14ac:dyDescent="0.3">
      <c r="B432" s="97"/>
      <c r="C432" s="54"/>
      <c r="D432" s="55"/>
      <c r="E432" s="55"/>
      <c r="F432" s="55"/>
      <c r="G432" s="56"/>
      <c r="H432" s="133"/>
      <c r="I432" s="134"/>
      <c r="J432" s="134"/>
      <c r="K432" s="55"/>
      <c r="L432" s="55"/>
      <c r="M432" s="54"/>
    </row>
    <row r="433" spans="2:13" ht="49.5" customHeight="1" x14ac:dyDescent="0.3">
      <c r="B433" s="97"/>
      <c r="C433" s="54"/>
      <c r="D433" s="55"/>
      <c r="E433" s="55"/>
      <c r="F433" s="55"/>
      <c r="G433" s="56"/>
      <c r="H433" s="133"/>
      <c r="I433" s="134"/>
      <c r="J433" s="134"/>
      <c r="K433" s="55"/>
      <c r="L433" s="55"/>
      <c r="M433" s="54"/>
    </row>
    <row r="434" spans="2:13" ht="49.5" customHeight="1" x14ac:dyDescent="0.3">
      <c r="B434" s="97"/>
      <c r="C434" s="54"/>
      <c r="D434" s="55"/>
      <c r="E434" s="55"/>
      <c r="F434" s="55"/>
      <c r="G434" s="56"/>
      <c r="H434" s="133"/>
      <c r="I434" s="134"/>
      <c r="J434" s="134"/>
      <c r="K434" s="55"/>
      <c r="L434" s="55"/>
      <c r="M434" s="54"/>
    </row>
    <row r="435" spans="2:13" ht="49.5" customHeight="1" x14ac:dyDescent="0.3">
      <c r="B435" s="97"/>
      <c r="C435" s="54"/>
      <c r="D435" s="55"/>
      <c r="E435" s="55"/>
      <c r="F435" s="55"/>
      <c r="G435" s="56"/>
      <c r="H435" s="133"/>
      <c r="I435" s="134"/>
      <c r="J435" s="134"/>
      <c r="K435" s="55"/>
      <c r="L435" s="55"/>
      <c r="M435" s="54"/>
    </row>
    <row r="436" spans="2:13" ht="49.5" customHeight="1" x14ac:dyDescent="0.3">
      <c r="B436" s="97"/>
      <c r="C436" s="54"/>
      <c r="D436" s="55"/>
      <c r="E436" s="55"/>
      <c r="F436" s="55"/>
      <c r="G436" s="56"/>
      <c r="H436" s="133"/>
      <c r="I436" s="134"/>
      <c r="J436" s="134"/>
      <c r="K436" s="55"/>
      <c r="L436" s="55"/>
      <c r="M436" s="54"/>
    </row>
    <row r="437" spans="2:13" ht="49.5" customHeight="1" x14ac:dyDescent="0.3">
      <c r="B437" s="97"/>
      <c r="C437" s="54"/>
      <c r="D437" s="55"/>
      <c r="E437" s="55"/>
      <c r="F437" s="55"/>
      <c r="G437" s="56"/>
      <c r="H437" s="133"/>
      <c r="I437" s="134"/>
      <c r="J437" s="134"/>
      <c r="K437" s="55"/>
      <c r="L437" s="55"/>
      <c r="M437" s="54"/>
    </row>
    <row r="438" spans="2:13" ht="49.5" customHeight="1" x14ac:dyDescent="0.3">
      <c r="B438" s="97"/>
      <c r="C438" s="54"/>
      <c r="D438" s="55"/>
      <c r="E438" s="55"/>
      <c r="F438" s="55"/>
      <c r="G438" s="56"/>
      <c r="H438" s="133"/>
      <c r="I438" s="134"/>
      <c r="J438" s="134"/>
      <c r="K438" s="55"/>
      <c r="L438" s="55"/>
      <c r="M438" s="54"/>
    </row>
    <row r="439" spans="2:13" ht="49.5" customHeight="1" x14ac:dyDescent="0.3">
      <c r="B439" s="97"/>
      <c r="C439" s="54"/>
      <c r="D439" s="55"/>
      <c r="E439" s="55"/>
      <c r="F439" s="55"/>
      <c r="G439" s="56"/>
      <c r="H439" s="133"/>
      <c r="I439" s="134"/>
      <c r="J439" s="134"/>
      <c r="K439" s="55"/>
      <c r="L439" s="55"/>
      <c r="M439" s="54"/>
    </row>
    <row r="440" spans="2:13" ht="49.5" customHeight="1" x14ac:dyDescent="0.3">
      <c r="B440" s="97"/>
      <c r="C440" s="54"/>
      <c r="D440" s="55"/>
      <c r="E440" s="55"/>
      <c r="F440" s="55"/>
      <c r="G440" s="56"/>
      <c r="H440" s="133"/>
      <c r="I440" s="134"/>
      <c r="J440" s="134"/>
      <c r="K440" s="55"/>
      <c r="L440" s="55"/>
      <c r="M440" s="54"/>
    </row>
    <row r="441" spans="2:13" ht="49.5" customHeight="1" x14ac:dyDescent="0.3">
      <c r="B441" s="97"/>
      <c r="C441" s="54"/>
      <c r="D441" s="55"/>
      <c r="E441" s="55"/>
      <c r="F441" s="55"/>
      <c r="G441" s="56"/>
      <c r="H441" s="133"/>
      <c r="I441" s="134"/>
      <c r="J441" s="134"/>
      <c r="K441" s="55"/>
      <c r="L441" s="55"/>
      <c r="M441" s="54"/>
    </row>
    <row r="442" spans="2:13" ht="49.5" customHeight="1" x14ac:dyDescent="0.3">
      <c r="B442" s="97"/>
      <c r="C442" s="54"/>
      <c r="D442" s="55"/>
      <c r="E442" s="55"/>
      <c r="F442" s="55"/>
      <c r="G442" s="56"/>
      <c r="H442" s="133"/>
      <c r="I442" s="134"/>
      <c r="J442" s="134"/>
      <c r="K442" s="55"/>
      <c r="L442" s="55"/>
      <c r="M442" s="54"/>
    </row>
    <row r="443" spans="2:13" ht="49.5" customHeight="1" x14ac:dyDescent="0.3">
      <c r="B443" s="97"/>
      <c r="C443" s="54"/>
      <c r="D443" s="55"/>
      <c r="E443" s="55"/>
      <c r="F443" s="55"/>
      <c r="G443" s="56"/>
      <c r="H443" s="133"/>
      <c r="I443" s="134"/>
      <c r="J443" s="134"/>
      <c r="K443" s="55"/>
      <c r="L443" s="55"/>
      <c r="M443" s="54"/>
    </row>
    <row r="444" spans="2:13" ht="49.5" customHeight="1" x14ac:dyDescent="0.3">
      <c r="B444" s="97"/>
      <c r="C444" s="54"/>
      <c r="D444" s="55"/>
      <c r="E444" s="55"/>
      <c r="F444" s="55"/>
      <c r="G444" s="56"/>
      <c r="H444" s="133"/>
      <c r="I444" s="134"/>
      <c r="J444" s="134"/>
      <c r="K444" s="55"/>
      <c r="L444" s="55"/>
      <c r="M444" s="54"/>
    </row>
    <row r="445" spans="2:13" ht="49.5" customHeight="1" x14ac:dyDescent="0.3">
      <c r="B445" s="97"/>
      <c r="C445" s="54"/>
      <c r="D445" s="55"/>
      <c r="E445" s="55"/>
      <c r="F445" s="55"/>
      <c r="G445" s="56"/>
      <c r="H445" s="133"/>
      <c r="I445" s="134"/>
      <c r="J445" s="134"/>
      <c r="K445" s="55"/>
      <c r="L445" s="55"/>
      <c r="M445" s="54"/>
    </row>
    <row r="446" spans="2:13" ht="49.5" customHeight="1" x14ac:dyDescent="0.3">
      <c r="B446" s="97"/>
      <c r="C446" s="54"/>
      <c r="D446" s="55"/>
      <c r="E446" s="55"/>
      <c r="F446" s="55"/>
      <c r="G446" s="56"/>
      <c r="H446" s="133"/>
      <c r="I446" s="134"/>
      <c r="J446" s="134"/>
      <c r="K446" s="55"/>
      <c r="L446" s="55"/>
      <c r="M446" s="54"/>
    </row>
    <row r="447" spans="2:13" ht="49.5" customHeight="1" x14ac:dyDescent="0.3">
      <c r="B447" s="97"/>
      <c r="C447" s="54"/>
      <c r="D447" s="55"/>
      <c r="E447" s="55"/>
      <c r="F447" s="55"/>
      <c r="G447" s="56"/>
      <c r="H447" s="133"/>
      <c r="I447" s="134"/>
      <c r="J447" s="134"/>
      <c r="K447" s="55"/>
      <c r="L447" s="55"/>
      <c r="M447" s="54"/>
    </row>
    <row r="448" spans="2:13" ht="49.5" customHeight="1" x14ac:dyDescent="0.3">
      <c r="B448" s="97"/>
      <c r="C448" s="54"/>
      <c r="D448" s="55"/>
      <c r="E448" s="55"/>
      <c r="F448" s="55"/>
      <c r="G448" s="56"/>
      <c r="H448" s="133"/>
      <c r="I448" s="134"/>
      <c r="J448" s="134"/>
      <c r="K448" s="55"/>
      <c r="L448" s="55"/>
      <c r="M448" s="54"/>
    </row>
    <row r="449" spans="2:13" ht="49.5" customHeight="1" x14ac:dyDescent="0.3">
      <c r="B449" s="97"/>
      <c r="C449" s="54"/>
      <c r="D449" s="55"/>
      <c r="E449" s="55"/>
      <c r="F449" s="55"/>
      <c r="G449" s="56"/>
      <c r="H449" s="133"/>
      <c r="I449" s="134"/>
      <c r="J449" s="134"/>
      <c r="K449" s="55"/>
      <c r="L449" s="55"/>
      <c r="M449" s="54"/>
    </row>
    <row r="450" spans="2:13" ht="49.5" customHeight="1" x14ac:dyDescent="0.3">
      <c r="B450" s="97"/>
      <c r="C450" s="54"/>
      <c r="D450" s="55"/>
      <c r="E450" s="55"/>
      <c r="F450" s="55"/>
      <c r="G450" s="56"/>
      <c r="H450" s="133"/>
      <c r="I450" s="134"/>
      <c r="J450" s="134"/>
      <c r="K450" s="55"/>
      <c r="L450" s="55"/>
      <c r="M450" s="54"/>
    </row>
    <row r="451" spans="2:13" ht="49.5" customHeight="1" x14ac:dyDescent="0.3">
      <c r="B451" s="97"/>
      <c r="C451" s="54"/>
      <c r="D451" s="55"/>
      <c r="E451" s="55"/>
      <c r="F451" s="55"/>
      <c r="G451" s="56"/>
      <c r="H451" s="133"/>
      <c r="I451" s="134"/>
      <c r="J451" s="134"/>
      <c r="K451" s="55"/>
      <c r="L451" s="55"/>
      <c r="M451" s="54"/>
    </row>
    <row r="452" spans="2:13" ht="49.5" customHeight="1" x14ac:dyDescent="0.3">
      <c r="B452" s="97"/>
      <c r="C452" s="54"/>
      <c r="D452" s="55"/>
      <c r="E452" s="55"/>
      <c r="F452" s="55"/>
      <c r="G452" s="56"/>
      <c r="H452" s="133"/>
      <c r="I452" s="134"/>
      <c r="J452" s="134"/>
      <c r="K452" s="55"/>
      <c r="L452" s="55"/>
      <c r="M452" s="54"/>
    </row>
    <row r="453" spans="2:13" ht="49.5" customHeight="1" x14ac:dyDescent="0.3">
      <c r="B453" s="97"/>
      <c r="C453" s="54"/>
      <c r="D453" s="55"/>
      <c r="E453" s="55"/>
      <c r="F453" s="55"/>
      <c r="G453" s="56"/>
      <c r="H453" s="133"/>
      <c r="I453" s="134"/>
      <c r="J453" s="134"/>
      <c r="K453" s="55"/>
      <c r="L453" s="55"/>
      <c r="M453" s="54"/>
    </row>
    <row r="454" spans="2:13" ht="49.5" customHeight="1" x14ac:dyDescent="0.3">
      <c r="B454" s="97"/>
      <c r="C454" s="54"/>
      <c r="D454" s="55"/>
      <c r="E454" s="55"/>
      <c r="F454" s="55"/>
      <c r="G454" s="56"/>
      <c r="H454" s="133"/>
      <c r="I454" s="134"/>
      <c r="J454" s="134"/>
      <c r="K454" s="55"/>
      <c r="L454" s="55"/>
      <c r="M454" s="54"/>
    </row>
    <row r="455" spans="2:13" ht="49.5" customHeight="1" x14ac:dyDescent="0.3">
      <c r="B455" s="97"/>
      <c r="C455" s="54"/>
      <c r="D455" s="55"/>
      <c r="E455" s="55"/>
      <c r="F455" s="55"/>
      <c r="G455" s="56"/>
      <c r="H455" s="133"/>
      <c r="I455" s="134"/>
      <c r="J455" s="134"/>
      <c r="K455" s="55"/>
      <c r="L455" s="55"/>
      <c r="M455" s="54"/>
    </row>
    <row r="456" spans="2:13" ht="49.5" customHeight="1" x14ac:dyDescent="0.3">
      <c r="B456" s="97"/>
      <c r="C456" s="54"/>
      <c r="D456" s="55"/>
      <c r="E456" s="55"/>
      <c r="F456" s="55"/>
      <c r="G456" s="56"/>
      <c r="H456" s="133"/>
      <c r="I456" s="134"/>
      <c r="J456" s="134"/>
      <c r="K456" s="55"/>
      <c r="L456" s="55"/>
      <c r="M456" s="54"/>
    </row>
    <row r="457" spans="2:13" ht="49.5" customHeight="1" x14ac:dyDescent="0.3">
      <c r="B457" s="97"/>
      <c r="C457" s="54"/>
      <c r="D457" s="55"/>
      <c r="E457" s="55"/>
      <c r="F457" s="55"/>
      <c r="G457" s="56"/>
      <c r="H457" s="133"/>
      <c r="I457" s="134"/>
      <c r="J457" s="134"/>
      <c r="K457" s="55"/>
      <c r="L457" s="55"/>
      <c r="M457" s="54"/>
    </row>
    <row r="458" spans="2:13" ht="49.5" customHeight="1" x14ac:dyDescent="0.3">
      <c r="B458" s="97"/>
      <c r="C458" s="54"/>
      <c r="D458" s="55"/>
      <c r="E458" s="55"/>
      <c r="F458" s="55"/>
      <c r="G458" s="56"/>
      <c r="H458" s="133"/>
      <c r="I458" s="134"/>
      <c r="J458" s="134"/>
      <c r="K458" s="55"/>
      <c r="L458" s="55"/>
      <c r="M458" s="54"/>
    </row>
    <row r="459" spans="2:13" ht="49.5" customHeight="1" x14ac:dyDescent="0.3">
      <c r="B459" s="97"/>
      <c r="C459" s="54"/>
      <c r="D459" s="55"/>
      <c r="E459" s="55"/>
      <c r="F459" s="55"/>
      <c r="G459" s="56"/>
      <c r="H459" s="133"/>
      <c r="I459" s="134"/>
      <c r="J459" s="134"/>
      <c r="K459" s="55"/>
      <c r="L459" s="55"/>
      <c r="M459" s="54"/>
    </row>
    <row r="460" spans="2:13" ht="49.5" customHeight="1" x14ac:dyDescent="0.3">
      <c r="B460" s="97"/>
      <c r="C460" s="54"/>
      <c r="D460" s="55"/>
      <c r="E460" s="55"/>
      <c r="F460" s="55"/>
      <c r="G460" s="56"/>
      <c r="H460" s="133"/>
      <c r="I460" s="134"/>
      <c r="J460" s="134"/>
      <c r="K460" s="55"/>
      <c r="L460" s="55"/>
      <c r="M460" s="54"/>
    </row>
    <row r="461" spans="2:13" ht="49.5" customHeight="1" x14ac:dyDescent="0.3">
      <c r="B461" s="97"/>
      <c r="C461" s="54"/>
      <c r="D461" s="55"/>
      <c r="E461" s="55"/>
      <c r="F461" s="55"/>
      <c r="G461" s="56"/>
      <c r="H461" s="133"/>
      <c r="I461" s="134"/>
      <c r="J461" s="134"/>
      <c r="K461" s="55"/>
      <c r="L461" s="55"/>
      <c r="M461" s="54"/>
    </row>
    <row r="462" spans="2:13" ht="49.5" customHeight="1" x14ac:dyDescent="0.3">
      <c r="B462" s="97"/>
      <c r="C462" s="54"/>
      <c r="D462" s="55"/>
      <c r="E462" s="55"/>
      <c r="F462" s="55"/>
      <c r="G462" s="56"/>
      <c r="H462" s="133"/>
      <c r="I462" s="134"/>
      <c r="J462" s="134"/>
      <c r="K462" s="55"/>
      <c r="L462" s="55"/>
      <c r="M462" s="54"/>
    </row>
    <row r="463" spans="2:13" ht="49.5" customHeight="1" x14ac:dyDescent="0.3">
      <c r="B463" s="97"/>
      <c r="C463" s="54"/>
      <c r="D463" s="55"/>
      <c r="E463" s="55"/>
      <c r="F463" s="55"/>
      <c r="G463" s="56"/>
      <c r="H463" s="133"/>
      <c r="I463" s="134"/>
      <c r="J463" s="134"/>
      <c r="K463" s="55"/>
      <c r="L463" s="55"/>
      <c r="M463" s="54"/>
    </row>
    <row r="464" spans="2:13" ht="49.5" customHeight="1" x14ac:dyDescent="0.3">
      <c r="B464" s="97"/>
      <c r="C464" s="54"/>
      <c r="D464" s="55"/>
      <c r="E464" s="55"/>
      <c r="F464" s="55"/>
      <c r="G464" s="56"/>
      <c r="H464" s="133"/>
      <c r="I464" s="134"/>
      <c r="J464" s="134"/>
      <c r="K464" s="55"/>
      <c r="L464" s="55"/>
      <c r="M464" s="54"/>
    </row>
    <row r="465" spans="2:13" ht="49.5" customHeight="1" x14ac:dyDescent="0.3">
      <c r="B465" s="97"/>
      <c r="C465" s="54"/>
      <c r="D465" s="55"/>
      <c r="E465" s="55"/>
      <c r="F465" s="55"/>
      <c r="G465" s="56"/>
      <c r="H465" s="133"/>
      <c r="I465" s="134"/>
      <c r="J465" s="134"/>
      <c r="K465" s="55"/>
      <c r="L465" s="55"/>
      <c r="M465" s="54"/>
    </row>
    <row r="466" spans="2:13" ht="49.5" customHeight="1" x14ac:dyDescent="0.3">
      <c r="B466" s="97"/>
      <c r="C466" s="54"/>
      <c r="D466" s="55"/>
      <c r="E466" s="55"/>
      <c r="F466" s="55"/>
      <c r="G466" s="56"/>
      <c r="H466" s="133"/>
      <c r="I466" s="134"/>
      <c r="J466" s="134"/>
      <c r="K466" s="55"/>
      <c r="L466" s="55"/>
      <c r="M466" s="54"/>
    </row>
    <row r="467" spans="2:13" ht="49.5" customHeight="1" x14ac:dyDescent="0.3">
      <c r="B467" s="97"/>
      <c r="C467" s="54"/>
      <c r="D467" s="55"/>
      <c r="E467" s="55"/>
      <c r="F467" s="55"/>
      <c r="G467" s="56"/>
      <c r="H467" s="133"/>
      <c r="I467" s="134"/>
      <c r="J467" s="134"/>
      <c r="K467" s="55"/>
      <c r="L467" s="55"/>
      <c r="M467" s="54"/>
    </row>
    <row r="468" spans="2:13" ht="49.5" customHeight="1" x14ac:dyDescent="0.3">
      <c r="B468" s="97"/>
      <c r="C468" s="54"/>
      <c r="D468" s="55"/>
      <c r="E468" s="55"/>
      <c r="F468" s="55"/>
      <c r="G468" s="56"/>
      <c r="H468" s="133"/>
      <c r="I468" s="134"/>
      <c r="J468" s="134"/>
      <c r="K468" s="55"/>
      <c r="L468" s="55"/>
      <c r="M468" s="54"/>
    </row>
    <row r="469" spans="2:13" ht="49.5" customHeight="1" x14ac:dyDescent="0.3">
      <c r="B469" s="97"/>
      <c r="C469" s="54"/>
      <c r="D469" s="55"/>
      <c r="E469" s="55"/>
      <c r="F469" s="55"/>
      <c r="G469" s="56"/>
      <c r="H469" s="133"/>
      <c r="I469" s="134"/>
      <c r="J469" s="134"/>
      <c r="K469" s="55"/>
      <c r="L469" s="55"/>
      <c r="M469" s="54"/>
    </row>
    <row r="470" spans="2:13" ht="49.5" customHeight="1" x14ac:dyDescent="0.3">
      <c r="B470" s="97"/>
      <c r="C470" s="54"/>
      <c r="D470" s="55"/>
      <c r="E470" s="55"/>
      <c r="F470" s="55"/>
      <c r="G470" s="56"/>
      <c r="H470" s="133"/>
      <c r="I470" s="134"/>
      <c r="J470" s="134"/>
      <c r="K470" s="55"/>
      <c r="L470" s="55"/>
      <c r="M470" s="54"/>
    </row>
    <row r="471" spans="2:13" ht="49.5" customHeight="1" x14ac:dyDescent="0.3">
      <c r="B471" s="97"/>
      <c r="C471" s="54"/>
      <c r="D471" s="55"/>
      <c r="E471" s="55"/>
      <c r="F471" s="55"/>
      <c r="G471" s="56"/>
      <c r="H471" s="133"/>
      <c r="I471" s="134"/>
      <c r="J471" s="134"/>
      <c r="K471" s="55"/>
      <c r="L471" s="55"/>
      <c r="M471" s="54"/>
    </row>
    <row r="472" spans="2:13" ht="49.5" customHeight="1" x14ac:dyDescent="0.3">
      <c r="B472" s="97"/>
      <c r="C472" s="54"/>
      <c r="D472" s="55"/>
      <c r="E472" s="55"/>
      <c r="F472" s="55"/>
      <c r="G472" s="56"/>
      <c r="H472" s="133"/>
      <c r="I472" s="134"/>
      <c r="J472" s="134"/>
      <c r="K472" s="55"/>
      <c r="L472" s="55"/>
      <c r="M472" s="54"/>
    </row>
    <row r="473" spans="2:13" ht="49.5" customHeight="1" x14ac:dyDescent="0.3">
      <c r="B473" s="97"/>
      <c r="C473" s="54"/>
      <c r="D473" s="55"/>
      <c r="E473" s="55"/>
      <c r="F473" s="55"/>
      <c r="G473" s="56"/>
      <c r="H473" s="133"/>
      <c r="I473" s="134"/>
      <c r="J473" s="134"/>
      <c r="K473" s="55"/>
      <c r="L473" s="55"/>
      <c r="M473" s="54"/>
    </row>
    <row r="474" spans="2:13" ht="49.5" customHeight="1" x14ac:dyDescent="0.3">
      <c r="B474" s="97"/>
      <c r="C474" s="54"/>
      <c r="D474" s="55"/>
      <c r="E474" s="55"/>
      <c r="F474" s="55"/>
      <c r="G474" s="56"/>
      <c r="H474" s="133"/>
      <c r="I474" s="134"/>
      <c r="J474" s="134"/>
      <c r="K474" s="55"/>
      <c r="L474" s="55"/>
      <c r="M474" s="54"/>
    </row>
    <row r="475" spans="2:13" ht="49.5" customHeight="1" x14ac:dyDescent="0.3">
      <c r="B475" s="97"/>
      <c r="C475" s="54"/>
      <c r="D475" s="55"/>
      <c r="E475" s="55"/>
      <c r="F475" s="55"/>
      <c r="G475" s="56"/>
      <c r="H475" s="133"/>
      <c r="I475" s="134"/>
      <c r="J475" s="134"/>
      <c r="K475" s="55"/>
      <c r="L475" s="55"/>
      <c r="M475" s="54"/>
    </row>
    <row r="476" spans="2:13" ht="49.5" customHeight="1" x14ac:dyDescent="0.3">
      <c r="B476" s="97"/>
      <c r="C476" s="54"/>
      <c r="D476" s="55"/>
      <c r="E476" s="55"/>
      <c r="F476" s="55"/>
      <c r="G476" s="56"/>
      <c r="H476" s="133"/>
      <c r="I476" s="134"/>
      <c r="J476" s="134"/>
      <c r="K476" s="55"/>
      <c r="L476" s="55"/>
      <c r="M476" s="54"/>
    </row>
    <row r="477" spans="2:13" ht="49.5" customHeight="1" x14ac:dyDescent="0.3">
      <c r="B477" s="97"/>
      <c r="C477" s="54"/>
      <c r="D477" s="55"/>
      <c r="E477" s="55"/>
      <c r="F477" s="55"/>
      <c r="G477" s="56"/>
      <c r="H477" s="133"/>
      <c r="I477" s="134"/>
      <c r="J477" s="134"/>
      <c r="K477" s="55"/>
      <c r="L477" s="55"/>
      <c r="M477" s="54"/>
    </row>
    <row r="478" spans="2:13" ht="49.5" customHeight="1" x14ac:dyDescent="0.3">
      <c r="B478" s="97"/>
      <c r="C478" s="54"/>
      <c r="D478" s="55"/>
      <c r="E478" s="55"/>
      <c r="F478" s="55"/>
      <c r="G478" s="56"/>
      <c r="H478" s="133"/>
      <c r="I478" s="134"/>
      <c r="J478" s="134"/>
      <c r="K478" s="55"/>
      <c r="L478" s="55"/>
      <c r="M478" s="54"/>
    </row>
    <row r="479" spans="2:13" ht="49.5" customHeight="1" x14ac:dyDescent="0.3">
      <c r="B479" s="97"/>
      <c r="C479" s="54"/>
      <c r="D479" s="55"/>
      <c r="E479" s="55"/>
      <c r="F479" s="55"/>
      <c r="G479" s="56"/>
      <c r="H479" s="133"/>
      <c r="I479" s="134"/>
      <c r="J479" s="134"/>
      <c r="K479" s="55"/>
      <c r="L479" s="55"/>
      <c r="M479" s="54"/>
    </row>
    <row r="480" spans="2:13" ht="49.5" customHeight="1" x14ac:dyDescent="0.3">
      <c r="B480" s="97"/>
      <c r="C480" s="54"/>
      <c r="D480" s="55"/>
      <c r="E480" s="55"/>
      <c r="F480" s="55"/>
      <c r="G480" s="56"/>
      <c r="H480" s="133"/>
      <c r="I480" s="134"/>
      <c r="J480" s="134"/>
      <c r="K480" s="55"/>
      <c r="L480" s="55"/>
      <c r="M480" s="54"/>
    </row>
    <row r="481" spans="2:13" ht="49.5" customHeight="1" x14ac:dyDescent="0.3">
      <c r="B481" s="97"/>
      <c r="C481" s="54"/>
      <c r="D481" s="55"/>
      <c r="E481" s="55"/>
      <c r="F481" s="55"/>
      <c r="G481" s="56"/>
      <c r="H481" s="133"/>
      <c r="I481" s="134"/>
      <c r="J481" s="134"/>
      <c r="K481" s="55"/>
      <c r="L481" s="55"/>
      <c r="M481" s="54"/>
    </row>
    <row r="482" spans="2:13" ht="49.5" customHeight="1" x14ac:dyDescent="0.3">
      <c r="B482" s="97"/>
      <c r="C482" s="54"/>
      <c r="D482" s="55"/>
      <c r="E482" s="55"/>
      <c r="F482" s="55"/>
      <c r="G482" s="56"/>
      <c r="H482" s="133"/>
      <c r="I482" s="134"/>
      <c r="J482" s="134"/>
      <c r="K482" s="55"/>
      <c r="L482" s="55"/>
      <c r="M482" s="54"/>
    </row>
    <row r="483" spans="2:13" ht="49.5" customHeight="1" x14ac:dyDescent="0.3">
      <c r="B483" s="97"/>
      <c r="C483" s="54"/>
      <c r="D483" s="55"/>
      <c r="E483" s="55"/>
      <c r="F483" s="55"/>
      <c r="G483" s="56"/>
      <c r="H483" s="133"/>
      <c r="I483" s="134"/>
      <c r="J483" s="134"/>
      <c r="K483" s="55"/>
      <c r="L483" s="55"/>
      <c r="M483" s="54"/>
    </row>
    <row r="484" spans="2:13" ht="49.5" customHeight="1" x14ac:dyDescent="0.3">
      <c r="B484" s="97"/>
      <c r="C484" s="54"/>
      <c r="D484" s="55"/>
      <c r="E484" s="55"/>
      <c r="F484" s="55"/>
      <c r="G484" s="56"/>
      <c r="H484" s="133"/>
      <c r="I484" s="134"/>
      <c r="J484" s="134"/>
      <c r="K484" s="55"/>
      <c r="L484" s="55"/>
      <c r="M484" s="54"/>
    </row>
    <row r="485" spans="2:13" ht="49.5" customHeight="1" x14ac:dyDescent="0.3">
      <c r="B485" s="97"/>
      <c r="C485" s="54"/>
      <c r="D485" s="55"/>
      <c r="E485" s="55"/>
      <c r="F485" s="55"/>
      <c r="G485" s="56"/>
      <c r="H485" s="133"/>
      <c r="I485" s="134"/>
      <c r="J485" s="134"/>
      <c r="K485" s="55"/>
      <c r="L485" s="55"/>
      <c r="M485" s="54"/>
    </row>
    <row r="486" spans="2:13" ht="49.5" customHeight="1" x14ac:dyDescent="0.3">
      <c r="B486" s="97"/>
      <c r="C486" s="54"/>
      <c r="D486" s="55"/>
      <c r="E486" s="55"/>
      <c r="F486" s="55"/>
      <c r="G486" s="56"/>
      <c r="H486" s="133"/>
      <c r="I486" s="134"/>
      <c r="J486" s="134"/>
      <c r="K486" s="55"/>
      <c r="L486" s="55"/>
      <c r="M486" s="54"/>
    </row>
    <row r="487" spans="2:13" ht="49.5" customHeight="1" x14ac:dyDescent="0.3">
      <c r="B487" s="97"/>
      <c r="C487" s="54"/>
      <c r="D487" s="55"/>
      <c r="E487" s="55"/>
      <c r="F487" s="55"/>
      <c r="G487" s="56"/>
      <c r="H487" s="133"/>
      <c r="I487" s="134"/>
      <c r="J487" s="134"/>
      <c r="K487" s="55"/>
      <c r="L487" s="55"/>
      <c r="M487" s="54"/>
    </row>
    <row r="488" spans="2:13" ht="49.5" customHeight="1" x14ac:dyDescent="0.3">
      <c r="B488" s="97"/>
      <c r="C488" s="54"/>
      <c r="D488" s="55"/>
      <c r="E488" s="55"/>
      <c r="F488" s="55"/>
      <c r="G488" s="56"/>
      <c r="H488" s="133"/>
      <c r="I488" s="134"/>
      <c r="J488" s="134"/>
      <c r="K488" s="55"/>
      <c r="L488" s="55"/>
      <c r="M488" s="54"/>
    </row>
    <row r="489" spans="2:13" ht="49.5" customHeight="1" x14ac:dyDescent="0.3">
      <c r="B489" s="97"/>
      <c r="C489" s="54"/>
      <c r="D489" s="55"/>
      <c r="E489" s="55"/>
      <c r="F489" s="55"/>
      <c r="G489" s="56"/>
      <c r="H489" s="133"/>
      <c r="I489" s="134"/>
      <c r="J489" s="134"/>
      <c r="K489" s="55"/>
      <c r="L489" s="55"/>
      <c r="M489" s="54"/>
    </row>
    <row r="490" spans="2:13" ht="49.5" customHeight="1" x14ac:dyDescent="0.3">
      <c r="B490" s="97"/>
      <c r="C490" s="54"/>
      <c r="D490" s="55"/>
      <c r="E490" s="55"/>
      <c r="F490" s="55"/>
      <c r="G490" s="56"/>
      <c r="H490" s="133"/>
      <c r="I490" s="134"/>
      <c r="J490" s="134"/>
      <c r="K490" s="55"/>
      <c r="L490" s="55"/>
      <c r="M490" s="54"/>
    </row>
    <row r="491" spans="2:13" ht="49.5" customHeight="1" x14ac:dyDescent="0.3">
      <c r="B491" s="97"/>
      <c r="C491" s="54"/>
      <c r="D491" s="55"/>
      <c r="E491" s="55"/>
      <c r="F491" s="55"/>
      <c r="G491" s="56"/>
      <c r="H491" s="133"/>
      <c r="I491" s="134"/>
      <c r="J491" s="134"/>
      <c r="K491" s="55"/>
      <c r="L491" s="55"/>
      <c r="M491" s="54"/>
    </row>
    <row r="492" spans="2:13" ht="49.5" customHeight="1" x14ac:dyDescent="0.3">
      <c r="B492" s="97"/>
      <c r="C492" s="54"/>
      <c r="D492" s="55"/>
      <c r="E492" s="55"/>
      <c r="F492" s="55"/>
      <c r="G492" s="56"/>
      <c r="H492" s="133"/>
      <c r="I492" s="134"/>
      <c r="J492" s="134"/>
      <c r="K492" s="55"/>
      <c r="L492" s="55"/>
      <c r="M492" s="54"/>
    </row>
    <row r="493" spans="2:13" ht="49.5" customHeight="1" x14ac:dyDescent="0.3">
      <c r="B493" s="97"/>
      <c r="C493" s="54"/>
      <c r="D493" s="55"/>
      <c r="E493" s="55"/>
      <c r="F493" s="55"/>
      <c r="G493" s="56"/>
      <c r="H493" s="133"/>
      <c r="I493" s="134"/>
      <c r="J493" s="134"/>
      <c r="K493" s="55"/>
      <c r="L493" s="55"/>
      <c r="M493" s="54"/>
    </row>
    <row r="494" spans="2:13" ht="49.5" customHeight="1" x14ac:dyDescent="0.3">
      <c r="B494" s="97"/>
      <c r="C494" s="54"/>
      <c r="D494" s="55"/>
      <c r="E494" s="55"/>
      <c r="F494" s="55"/>
      <c r="G494" s="56"/>
      <c r="H494" s="133"/>
      <c r="I494" s="134"/>
      <c r="J494" s="134"/>
      <c r="K494" s="55"/>
      <c r="L494" s="55"/>
      <c r="M494" s="54"/>
    </row>
    <row r="495" spans="2:13" ht="49.5" customHeight="1" x14ac:dyDescent="0.3">
      <c r="B495" s="97"/>
      <c r="C495" s="54"/>
      <c r="D495" s="55"/>
      <c r="E495" s="55"/>
      <c r="F495" s="55"/>
      <c r="G495" s="56"/>
      <c r="H495" s="133"/>
      <c r="I495" s="134"/>
      <c r="J495" s="134"/>
      <c r="K495" s="55"/>
      <c r="L495" s="55"/>
      <c r="M495" s="54"/>
    </row>
    <row r="496" spans="2:13" ht="49.5" customHeight="1" x14ac:dyDescent="0.3">
      <c r="B496" s="97"/>
      <c r="C496" s="54"/>
      <c r="D496" s="55"/>
      <c r="E496" s="55"/>
      <c r="F496" s="55"/>
      <c r="G496" s="56"/>
      <c r="H496" s="133"/>
      <c r="I496" s="134"/>
      <c r="J496" s="134"/>
      <c r="K496" s="55"/>
      <c r="L496" s="55"/>
      <c r="M496" s="54"/>
    </row>
    <row r="497" spans="2:13" ht="49.5" customHeight="1" x14ac:dyDescent="0.3">
      <c r="B497" s="97"/>
      <c r="C497" s="54"/>
      <c r="D497" s="55"/>
      <c r="E497" s="55"/>
      <c r="F497" s="55"/>
      <c r="G497" s="56"/>
      <c r="H497" s="133"/>
      <c r="I497" s="134"/>
      <c r="J497" s="134"/>
      <c r="K497" s="55"/>
      <c r="L497" s="55"/>
      <c r="M497" s="54"/>
    </row>
    <row r="498" spans="2:13" ht="49.5" customHeight="1" x14ac:dyDescent="0.3">
      <c r="B498" s="97"/>
      <c r="C498" s="54"/>
      <c r="D498" s="55"/>
      <c r="E498" s="55"/>
      <c r="F498" s="55"/>
      <c r="G498" s="56"/>
      <c r="H498" s="133"/>
      <c r="I498" s="134"/>
      <c r="J498" s="134"/>
      <c r="K498" s="55"/>
      <c r="L498" s="55"/>
      <c r="M498" s="54"/>
    </row>
    <row r="499" spans="2:13" ht="49.5" customHeight="1" x14ac:dyDescent="0.3">
      <c r="B499" s="97"/>
      <c r="C499" s="54"/>
      <c r="D499" s="55"/>
      <c r="E499" s="55"/>
      <c r="F499" s="55"/>
      <c r="G499" s="56"/>
      <c r="H499" s="133"/>
      <c r="I499" s="134"/>
      <c r="J499" s="134"/>
      <c r="K499" s="55"/>
      <c r="L499" s="55"/>
      <c r="M499" s="54"/>
    </row>
    <row r="500" spans="2:13" ht="49.5" customHeight="1" x14ac:dyDescent="0.3">
      <c r="B500" s="97"/>
      <c r="C500" s="54"/>
      <c r="D500" s="55"/>
      <c r="E500" s="55"/>
      <c r="F500" s="55"/>
      <c r="G500" s="56"/>
      <c r="H500" s="133"/>
      <c r="I500" s="134"/>
      <c r="J500" s="134"/>
      <c r="K500" s="55"/>
      <c r="L500" s="55"/>
      <c r="M500" s="54"/>
    </row>
    <row r="501" spans="2:13" ht="49.5" customHeight="1" x14ac:dyDescent="0.3">
      <c r="B501" s="97"/>
      <c r="C501" s="54"/>
      <c r="D501" s="55"/>
      <c r="E501" s="55"/>
      <c r="F501" s="55"/>
      <c r="G501" s="56"/>
      <c r="H501" s="133"/>
      <c r="I501" s="134"/>
      <c r="J501" s="134"/>
      <c r="K501" s="55"/>
      <c r="L501" s="55"/>
      <c r="M501" s="54"/>
    </row>
    <row r="502" spans="2:13" ht="49.5" customHeight="1" x14ac:dyDescent="0.3">
      <c r="B502" s="97"/>
      <c r="C502" s="54"/>
      <c r="D502" s="55"/>
      <c r="E502" s="55"/>
      <c r="F502" s="55"/>
      <c r="G502" s="56"/>
      <c r="H502" s="133"/>
      <c r="I502" s="134"/>
      <c r="J502" s="134"/>
      <c r="K502" s="55"/>
      <c r="L502" s="55"/>
      <c r="M502" s="54"/>
    </row>
    <row r="503" spans="2:13" ht="49.5" customHeight="1" x14ac:dyDescent="0.3">
      <c r="B503" s="97"/>
      <c r="C503" s="54"/>
      <c r="D503" s="55"/>
      <c r="E503" s="55"/>
      <c r="F503" s="55"/>
      <c r="G503" s="56"/>
      <c r="H503" s="133"/>
      <c r="I503" s="134"/>
      <c r="J503" s="134"/>
      <c r="K503" s="55"/>
      <c r="L503" s="55"/>
      <c r="M503" s="54"/>
    </row>
    <row r="504" spans="2:13" ht="49.5" customHeight="1" x14ac:dyDescent="0.3">
      <c r="B504" s="97"/>
      <c r="C504" s="54"/>
      <c r="D504" s="55"/>
      <c r="E504" s="55"/>
      <c r="F504" s="55"/>
      <c r="G504" s="56"/>
      <c r="H504" s="133"/>
      <c r="I504" s="134"/>
      <c r="J504" s="134"/>
      <c r="K504" s="55"/>
      <c r="L504" s="55"/>
      <c r="M504" s="54"/>
    </row>
    <row r="505" spans="2:13" ht="49.5" customHeight="1" x14ac:dyDescent="0.3">
      <c r="B505" s="97"/>
      <c r="C505" s="54"/>
      <c r="D505" s="55"/>
      <c r="E505" s="55"/>
      <c r="F505" s="55"/>
      <c r="G505" s="56"/>
      <c r="H505" s="133"/>
      <c r="I505" s="134"/>
      <c r="J505" s="134"/>
      <c r="K505" s="55"/>
      <c r="L505" s="55"/>
      <c r="M505" s="54"/>
    </row>
    <row r="506" spans="2:13" ht="49.5" customHeight="1" x14ac:dyDescent="0.3">
      <c r="B506" s="97"/>
      <c r="C506" s="54"/>
      <c r="D506" s="55"/>
      <c r="E506" s="55"/>
      <c r="F506" s="55"/>
      <c r="G506" s="56"/>
      <c r="H506" s="133"/>
      <c r="I506" s="134"/>
      <c r="J506" s="134"/>
      <c r="K506" s="55"/>
      <c r="L506" s="55"/>
      <c r="M506" s="54"/>
    </row>
    <row r="507" spans="2:13" ht="49.5" customHeight="1" x14ac:dyDescent="0.3">
      <c r="B507" s="97"/>
      <c r="C507" s="54"/>
      <c r="D507" s="55"/>
      <c r="E507" s="55"/>
      <c r="F507" s="55"/>
      <c r="G507" s="56"/>
      <c r="H507" s="133"/>
      <c r="I507" s="134"/>
      <c r="J507" s="134"/>
      <c r="K507" s="55"/>
      <c r="L507" s="55"/>
      <c r="M507" s="54"/>
    </row>
    <row r="508" spans="2:13" ht="49.5" customHeight="1" x14ac:dyDescent="0.3">
      <c r="B508" s="97"/>
      <c r="C508" s="54"/>
      <c r="D508" s="55"/>
      <c r="E508" s="55"/>
      <c r="F508" s="55"/>
      <c r="G508" s="56"/>
      <c r="H508" s="133"/>
      <c r="I508" s="134"/>
      <c r="J508" s="134"/>
      <c r="K508" s="55"/>
      <c r="L508" s="55"/>
      <c r="M508" s="54"/>
    </row>
    <row r="509" spans="2:13" ht="49.5" customHeight="1" x14ac:dyDescent="0.3">
      <c r="B509" s="97"/>
      <c r="C509" s="54"/>
      <c r="D509" s="55"/>
      <c r="E509" s="55"/>
      <c r="F509" s="55"/>
      <c r="G509" s="56"/>
      <c r="H509" s="133"/>
      <c r="I509" s="134"/>
      <c r="J509" s="134"/>
      <c r="K509" s="55"/>
      <c r="L509" s="55"/>
      <c r="M509" s="54"/>
    </row>
    <row r="510" spans="2:13" ht="49.5" customHeight="1" x14ac:dyDescent="0.3">
      <c r="B510" s="97"/>
      <c r="C510" s="54"/>
      <c r="D510" s="55"/>
      <c r="E510" s="55"/>
      <c r="F510" s="55"/>
      <c r="G510" s="56"/>
      <c r="H510" s="133"/>
      <c r="I510" s="134"/>
      <c r="J510" s="134"/>
      <c r="K510" s="55"/>
      <c r="L510" s="55"/>
      <c r="M510" s="54"/>
    </row>
    <row r="511" spans="2:13" ht="49.5" customHeight="1" x14ac:dyDescent="0.3">
      <c r="B511" s="97"/>
      <c r="C511" s="54"/>
      <c r="D511" s="55"/>
      <c r="E511" s="55"/>
      <c r="F511" s="55"/>
      <c r="G511" s="56"/>
      <c r="H511" s="133"/>
      <c r="I511" s="134"/>
      <c r="J511" s="134"/>
      <c r="K511" s="55"/>
      <c r="L511" s="55"/>
      <c r="M511" s="54"/>
    </row>
    <row r="512" spans="2:13" ht="49.5" customHeight="1" x14ac:dyDescent="0.3">
      <c r="B512" s="97"/>
      <c r="C512" s="54"/>
      <c r="D512" s="55"/>
      <c r="E512" s="55"/>
      <c r="F512" s="55"/>
      <c r="G512" s="56"/>
      <c r="H512" s="133"/>
      <c r="I512" s="134"/>
      <c r="J512" s="134"/>
      <c r="K512" s="55"/>
      <c r="L512" s="55"/>
      <c r="M512" s="54"/>
    </row>
    <row r="513" spans="2:13" ht="49.5" customHeight="1" x14ac:dyDescent="0.3">
      <c r="B513" s="97"/>
      <c r="C513" s="54"/>
      <c r="D513" s="55"/>
      <c r="E513" s="55"/>
      <c r="F513" s="55"/>
      <c r="G513" s="56"/>
      <c r="H513" s="133"/>
      <c r="I513" s="134"/>
      <c r="J513" s="134"/>
      <c r="K513" s="55"/>
      <c r="L513" s="55"/>
      <c r="M513" s="54"/>
    </row>
    <row r="514" spans="2:13" ht="49.5" customHeight="1" x14ac:dyDescent="0.3">
      <c r="B514" s="97"/>
      <c r="C514" s="54"/>
      <c r="D514" s="55"/>
      <c r="E514" s="55"/>
      <c r="F514" s="55"/>
      <c r="G514" s="56"/>
      <c r="H514" s="133"/>
      <c r="I514" s="134"/>
      <c r="J514" s="134"/>
      <c r="K514" s="55"/>
      <c r="L514" s="55"/>
      <c r="M514" s="54"/>
    </row>
    <row r="515" spans="2:13" ht="49.5" customHeight="1" x14ac:dyDescent="0.3">
      <c r="B515" s="97"/>
      <c r="C515" s="54"/>
      <c r="D515" s="55"/>
      <c r="E515" s="55"/>
      <c r="F515" s="55"/>
      <c r="G515" s="56"/>
      <c r="H515" s="133"/>
      <c r="I515" s="134"/>
      <c r="J515" s="134"/>
      <c r="K515" s="55"/>
      <c r="L515" s="55"/>
      <c r="M515" s="54"/>
    </row>
    <row r="516" spans="2:13" ht="49.5" customHeight="1" x14ac:dyDescent="0.3">
      <c r="B516" s="97"/>
      <c r="C516" s="54"/>
      <c r="D516" s="55"/>
      <c r="E516" s="55"/>
      <c r="F516" s="55"/>
      <c r="G516" s="56"/>
      <c r="H516" s="133"/>
      <c r="I516" s="134"/>
      <c r="J516" s="134"/>
      <c r="K516" s="55"/>
      <c r="L516" s="55"/>
      <c r="M516" s="54"/>
    </row>
    <row r="517" spans="2:13" ht="49.5" customHeight="1" x14ac:dyDescent="0.3">
      <c r="B517" s="97"/>
      <c r="C517" s="54"/>
      <c r="D517" s="55"/>
      <c r="E517" s="55"/>
      <c r="F517" s="55"/>
      <c r="G517" s="56"/>
      <c r="H517" s="133"/>
      <c r="I517" s="134"/>
      <c r="J517" s="134"/>
      <c r="K517" s="55"/>
      <c r="L517" s="55"/>
      <c r="M517" s="54"/>
    </row>
    <row r="518" spans="2:13" ht="49.5" customHeight="1" x14ac:dyDescent="0.3">
      <c r="B518" s="97"/>
      <c r="C518" s="54"/>
      <c r="D518" s="55"/>
      <c r="E518" s="55"/>
      <c r="F518" s="55"/>
      <c r="G518" s="56"/>
      <c r="H518" s="133"/>
      <c r="I518" s="134"/>
      <c r="J518" s="134"/>
      <c r="K518" s="55"/>
      <c r="L518" s="55"/>
      <c r="M518" s="54"/>
    </row>
    <row r="519" spans="2:13" ht="49.5" customHeight="1" x14ac:dyDescent="0.3">
      <c r="B519" s="97"/>
      <c r="C519" s="54"/>
      <c r="D519" s="55"/>
      <c r="E519" s="55"/>
      <c r="F519" s="55"/>
      <c r="G519" s="56"/>
      <c r="H519" s="133"/>
      <c r="I519" s="134"/>
      <c r="J519" s="134"/>
      <c r="K519" s="55"/>
      <c r="L519" s="55"/>
      <c r="M519" s="54"/>
    </row>
    <row r="520" spans="2:13" ht="49.5" customHeight="1" x14ac:dyDescent="0.3">
      <c r="B520" s="97"/>
      <c r="C520" s="54"/>
      <c r="D520" s="55"/>
      <c r="E520" s="55"/>
      <c r="F520" s="55"/>
      <c r="G520" s="56"/>
      <c r="H520" s="133"/>
      <c r="I520" s="134"/>
      <c r="J520" s="134"/>
      <c r="K520" s="55"/>
      <c r="L520" s="55"/>
      <c r="M520" s="54"/>
    </row>
    <row r="521" spans="2:13" ht="49.5" customHeight="1" x14ac:dyDescent="0.3">
      <c r="B521" s="97"/>
      <c r="C521" s="54"/>
      <c r="D521" s="55"/>
      <c r="E521" s="55"/>
      <c r="F521" s="55"/>
      <c r="G521" s="56"/>
      <c r="H521" s="133"/>
      <c r="I521" s="134"/>
      <c r="J521" s="134"/>
      <c r="K521" s="55"/>
      <c r="L521" s="55"/>
      <c r="M521" s="54"/>
    </row>
    <row r="522" spans="2:13" ht="49.5" customHeight="1" x14ac:dyDescent="0.3">
      <c r="B522" s="97"/>
      <c r="C522" s="54"/>
      <c r="D522" s="55"/>
      <c r="E522" s="55"/>
      <c r="F522" s="55"/>
      <c r="G522" s="56"/>
      <c r="H522" s="133"/>
      <c r="I522" s="134"/>
      <c r="J522" s="134"/>
      <c r="K522" s="55"/>
      <c r="L522" s="55"/>
      <c r="M522" s="54"/>
    </row>
    <row r="523" spans="2:13" ht="49.5" customHeight="1" x14ac:dyDescent="0.3">
      <c r="B523" s="97"/>
      <c r="C523" s="54"/>
      <c r="D523" s="55"/>
      <c r="E523" s="55"/>
      <c r="F523" s="55"/>
      <c r="G523" s="56"/>
      <c r="H523" s="133"/>
      <c r="I523" s="134"/>
      <c r="J523" s="134"/>
      <c r="K523" s="55"/>
      <c r="L523" s="55"/>
      <c r="M523" s="54"/>
    </row>
    <row r="524" spans="2:13" ht="49.5" customHeight="1" x14ac:dyDescent="0.3">
      <c r="B524" s="97"/>
      <c r="C524" s="54"/>
      <c r="D524" s="55"/>
      <c r="E524" s="55"/>
      <c r="F524" s="55"/>
      <c r="G524" s="56"/>
      <c r="H524" s="133"/>
      <c r="I524" s="134"/>
      <c r="J524" s="134"/>
      <c r="K524" s="55"/>
      <c r="L524" s="55"/>
      <c r="M524" s="54"/>
    </row>
    <row r="525" spans="2:13" ht="49.5" customHeight="1" x14ac:dyDescent="0.3">
      <c r="B525" s="97"/>
      <c r="C525" s="54"/>
      <c r="D525" s="55"/>
      <c r="E525" s="55"/>
      <c r="F525" s="55"/>
      <c r="G525" s="56"/>
      <c r="H525" s="133"/>
      <c r="I525" s="134"/>
      <c r="J525" s="134"/>
      <c r="K525" s="55"/>
      <c r="L525" s="55"/>
      <c r="M525" s="54"/>
    </row>
    <row r="526" spans="2:13" ht="49.5" customHeight="1" x14ac:dyDescent="0.3">
      <c r="B526" s="97"/>
      <c r="C526" s="54"/>
      <c r="D526" s="55"/>
      <c r="E526" s="55"/>
      <c r="F526" s="55"/>
      <c r="G526" s="56"/>
      <c r="H526" s="133"/>
      <c r="I526" s="134"/>
      <c r="J526" s="134"/>
      <c r="K526" s="55"/>
      <c r="L526" s="55"/>
      <c r="M526" s="54"/>
    </row>
    <row r="527" spans="2:13" ht="49.5" customHeight="1" x14ac:dyDescent="0.3">
      <c r="B527" s="97"/>
      <c r="C527" s="54"/>
      <c r="D527" s="55"/>
      <c r="E527" s="55"/>
      <c r="F527" s="55"/>
      <c r="G527" s="56"/>
      <c r="H527" s="133"/>
      <c r="I527" s="134"/>
      <c r="J527" s="134"/>
      <c r="K527" s="55"/>
      <c r="L527" s="55"/>
      <c r="M527" s="54"/>
    </row>
    <row r="528" spans="2:13" ht="49.5" customHeight="1" x14ac:dyDescent="0.3">
      <c r="B528" s="97"/>
      <c r="C528" s="54"/>
      <c r="D528" s="55"/>
      <c r="E528" s="55"/>
      <c r="F528" s="55"/>
      <c r="G528" s="56"/>
      <c r="H528" s="133"/>
      <c r="I528" s="134"/>
      <c r="J528" s="134"/>
      <c r="K528" s="55"/>
      <c r="L528" s="55"/>
      <c r="M528" s="54"/>
    </row>
    <row r="529" spans="2:13" ht="49.5" customHeight="1" x14ac:dyDescent="0.3">
      <c r="B529" s="97"/>
      <c r="C529" s="54"/>
      <c r="D529" s="55"/>
      <c r="E529" s="55"/>
      <c r="F529" s="55"/>
      <c r="G529" s="56"/>
      <c r="H529" s="133"/>
      <c r="I529" s="134"/>
      <c r="J529" s="134"/>
      <c r="K529" s="55"/>
      <c r="L529" s="55"/>
      <c r="M529" s="54"/>
    </row>
    <row r="530" spans="2:13" ht="49.5" customHeight="1" x14ac:dyDescent="0.3">
      <c r="B530" s="97"/>
      <c r="C530" s="54"/>
      <c r="D530" s="55"/>
      <c r="E530" s="55"/>
      <c r="F530" s="55"/>
      <c r="G530" s="56"/>
      <c r="H530" s="133"/>
      <c r="I530" s="134"/>
      <c r="J530" s="134"/>
      <c r="K530" s="55"/>
      <c r="L530" s="55"/>
      <c r="M530" s="54"/>
    </row>
    <row r="531" spans="2:13" ht="49.5" customHeight="1" x14ac:dyDescent="0.3">
      <c r="B531" s="97"/>
      <c r="C531" s="54"/>
      <c r="D531" s="55"/>
      <c r="E531" s="55"/>
      <c r="F531" s="55"/>
      <c r="G531" s="56"/>
      <c r="H531" s="133"/>
      <c r="I531" s="134"/>
      <c r="J531" s="134"/>
      <c r="K531" s="55"/>
      <c r="L531" s="55"/>
      <c r="M531" s="54"/>
    </row>
    <row r="532" spans="2:13" ht="49.5" customHeight="1" x14ac:dyDescent="0.3">
      <c r="B532" s="97"/>
      <c r="C532" s="54"/>
      <c r="D532" s="55"/>
      <c r="E532" s="55"/>
      <c r="F532" s="55"/>
      <c r="G532" s="56"/>
      <c r="H532" s="133"/>
      <c r="I532" s="134"/>
      <c r="J532" s="134"/>
      <c r="K532" s="55"/>
      <c r="L532" s="55"/>
      <c r="M532" s="54"/>
    </row>
    <row r="533" spans="2:13" ht="49.5" customHeight="1" x14ac:dyDescent="0.3">
      <c r="B533" s="97"/>
      <c r="C533" s="54"/>
      <c r="D533" s="55"/>
      <c r="E533" s="55"/>
      <c r="F533" s="55"/>
      <c r="G533" s="56"/>
      <c r="H533" s="133"/>
      <c r="I533" s="134"/>
      <c r="J533" s="134"/>
      <c r="K533" s="55"/>
      <c r="L533" s="55"/>
      <c r="M533" s="54"/>
    </row>
    <row r="534" spans="2:13" ht="49.5" customHeight="1" x14ac:dyDescent="0.3">
      <c r="B534" s="97"/>
      <c r="C534" s="54"/>
      <c r="D534" s="55"/>
      <c r="E534" s="55"/>
      <c r="F534" s="55"/>
      <c r="G534" s="56"/>
      <c r="H534" s="133"/>
      <c r="I534" s="134"/>
      <c r="J534" s="134"/>
      <c r="K534" s="55"/>
      <c r="L534" s="55"/>
      <c r="M534" s="54"/>
    </row>
    <row r="535" spans="2:13" ht="49.5" customHeight="1" x14ac:dyDescent="0.3">
      <c r="B535" s="97"/>
      <c r="C535" s="54"/>
      <c r="D535" s="55"/>
      <c r="E535" s="55"/>
      <c r="F535" s="55"/>
      <c r="G535" s="56"/>
      <c r="H535" s="133"/>
      <c r="I535" s="134"/>
      <c r="J535" s="134"/>
      <c r="K535" s="55"/>
      <c r="L535" s="55"/>
      <c r="M535" s="54"/>
    </row>
    <row r="536" spans="2:13" ht="49.5" customHeight="1" x14ac:dyDescent="0.3">
      <c r="B536" s="97"/>
      <c r="C536" s="54"/>
      <c r="D536" s="55"/>
      <c r="E536" s="55"/>
      <c r="F536" s="55"/>
      <c r="G536" s="56"/>
      <c r="H536" s="133"/>
      <c r="I536" s="134"/>
      <c r="J536" s="134"/>
      <c r="K536" s="55"/>
      <c r="L536" s="55"/>
      <c r="M536" s="54"/>
    </row>
    <row r="537" spans="2:13" ht="49.5" customHeight="1" x14ac:dyDescent="0.3">
      <c r="B537" s="97"/>
      <c r="C537" s="54"/>
      <c r="D537" s="55"/>
      <c r="E537" s="55"/>
      <c r="F537" s="55"/>
      <c r="G537" s="56"/>
      <c r="H537" s="133"/>
      <c r="I537" s="134"/>
      <c r="J537" s="134"/>
      <c r="K537" s="55"/>
      <c r="L537" s="55"/>
      <c r="M537" s="54"/>
    </row>
    <row r="538" spans="2:13" ht="49.5" customHeight="1" x14ac:dyDescent="0.3">
      <c r="B538" s="97"/>
      <c r="C538" s="54"/>
      <c r="D538" s="55"/>
      <c r="E538" s="55"/>
      <c r="F538" s="55"/>
      <c r="G538" s="56"/>
      <c r="H538" s="133"/>
      <c r="I538" s="134"/>
      <c r="J538" s="134"/>
      <c r="K538" s="55"/>
      <c r="L538" s="55"/>
      <c r="M538" s="54"/>
    </row>
    <row r="539" spans="2:13" ht="49.5" customHeight="1" x14ac:dyDescent="0.3">
      <c r="B539" s="97"/>
      <c r="C539" s="54"/>
      <c r="D539" s="55"/>
      <c r="E539" s="55"/>
      <c r="F539" s="55"/>
      <c r="G539" s="56"/>
      <c r="H539" s="133"/>
      <c r="I539" s="134"/>
      <c r="J539" s="134"/>
      <c r="K539" s="55"/>
      <c r="L539" s="55"/>
      <c r="M539" s="54"/>
    </row>
    <row r="540" spans="2:13" ht="49.5" customHeight="1" x14ac:dyDescent="0.3">
      <c r="B540" s="97"/>
      <c r="C540" s="54"/>
      <c r="D540" s="55"/>
      <c r="E540" s="55"/>
      <c r="F540" s="55"/>
      <c r="G540" s="56"/>
      <c r="H540" s="133"/>
      <c r="I540" s="134"/>
      <c r="J540" s="134"/>
      <c r="K540" s="55"/>
      <c r="L540" s="55"/>
      <c r="M540" s="54"/>
    </row>
    <row r="541" spans="2:13" ht="49.5" customHeight="1" x14ac:dyDescent="0.3">
      <c r="B541" s="97"/>
      <c r="C541" s="54"/>
      <c r="D541" s="55"/>
      <c r="E541" s="55"/>
      <c r="F541" s="55"/>
      <c r="G541" s="56"/>
      <c r="H541" s="133"/>
      <c r="I541" s="134"/>
      <c r="J541" s="134"/>
      <c r="K541" s="55"/>
      <c r="L541" s="55"/>
      <c r="M541" s="54"/>
    </row>
    <row r="542" spans="2:13" ht="49.5" customHeight="1" x14ac:dyDescent="0.3">
      <c r="B542" s="97"/>
      <c r="C542" s="54"/>
      <c r="D542" s="55"/>
      <c r="E542" s="55"/>
      <c r="F542" s="55"/>
      <c r="G542" s="56"/>
      <c r="H542" s="133"/>
      <c r="I542" s="134"/>
      <c r="J542" s="134"/>
      <c r="K542" s="55"/>
      <c r="L542" s="55"/>
      <c r="M542" s="54"/>
    </row>
    <row r="543" spans="2:13" ht="49.5" customHeight="1" x14ac:dyDescent="0.3">
      <c r="B543" s="97"/>
      <c r="C543" s="54"/>
      <c r="D543" s="55"/>
      <c r="E543" s="55"/>
      <c r="F543" s="55"/>
      <c r="G543" s="56"/>
      <c r="H543" s="133"/>
      <c r="I543" s="134"/>
      <c r="J543" s="134"/>
      <c r="K543" s="55"/>
      <c r="L543" s="55"/>
      <c r="M543" s="54"/>
    </row>
    <row r="544" spans="2:13" ht="49.5" customHeight="1" x14ac:dyDescent="0.3">
      <c r="B544" s="97"/>
      <c r="C544" s="54"/>
      <c r="D544" s="55"/>
      <c r="E544" s="55"/>
      <c r="F544" s="55"/>
      <c r="G544" s="56"/>
      <c r="H544" s="133"/>
      <c r="I544" s="134"/>
      <c r="J544" s="134"/>
      <c r="K544" s="55"/>
      <c r="L544" s="55"/>
      <c r="M544" s="54"/>
    </row>
    <row r="545" spans="2:13" ht="49.5" customHeight="1" x14ac:dyDescent="0.3">
      <c r="B545" s="97"/>
      <c r="C545" s="54"/>
      <c r="D545" s="55"/>
      <c r="E545" s="55"/>
      <c r="F545" s="55"/>
      <c r="G545" s="56"/>
      <c r="H545" s="133"/>
      <c r="I545" s="134"/>
      <c r="J545" s="134"/>
      <c r="K545" s="55"/>
      <c r="L545" s="55"/>
      <c r="M545" s="54"/>
    </row>
    <row r="546" spans="2:13" ht="49.5" customHeight="1" x14ac:dyDescent="0.3">
      <c r="B546" s="97"/>
      <c r="C546" s="54"/>
      <c r="D546" s="55"/>
      <c r="E546" s="55"/>
      <c r="F546" s="55"/>
      <c r="G546" s="56"/>
      <c r="H546" s="133"/>
      <c r="I546" s="134"/>
      <c r="J546" s="134"/>
      <c r="K546" s="55"/>
      <c r="L546" s="55"/>
      <c r="M546" s="54"/>
    </row>
    <row r="547" spans="2:13" ht="49.5" customHeight="1" x14ac:dyDescent="0.3">
      <c r="B547" s="97"/>
      <c r="C547" s="54"/>
      <c r="D547" s="55"/>
      <c r="E547" s="55"/>
      <c r="F547" s="55"/>
      <c r="G547" s="56"/>
      <c r="H547" s="133"/>
      <c r="I547" s="134"/>
      <c r="J547" s="134"/>
      <c r="K547" s="55"/>
      <c r="L547" s="55"/>
      <c r="M547" s="54"/>
    </row>
    <row r="548" spans="2:13" ht="49.5" customHeight="1" x14ac:dyDescent="0.3">
      <c r="B548" s="97"/>
      <c r="C548" s="54"/>
      <c r="D548" s="55"/>
      <c r="E548" s="55"/>
      <c r="F548" s="55"/>
      <c r="G548" s="56"/>
      <c r="H548" s="133"/>
      <c r="I548" s="134"/>
      <c r="J548" s="134"/>
      <c r="K548" s="55"/>
      <c r="L548" s="55"/>
      <c r="M548" s="54"/>
    </row>
    <row r="549" spans="2:13" ht="49.5" customHeight="1" x14ac:dyDescent="0.3">
      <c r="B549" s="97"/>
      <c r="C549" s="54"/>
      <c r="D549" s="55"/>
      <c r="E549" s="55"/>
      <c r="F549" s="55"/>
      <c r="G549" s="56"/>
      <c r="H549" s="133"/>
      <c r="I549" s="134"/>
      <c r="J549" s="134"/>
      <c r="K549" s="55"/>
      <c r="L549" s="55"/>
      <c r="M549" s="54"/>
    </row>
    <row r="550" spans="2:13" ht="49.5" customHeight="1" x14ac:dyDescent="0.3">
      <c r="B550" s="97"/>
      <c r="C550" s="54"/>
      <c r="D550" s="55"/>
      <c r="E550" s="55"/>
      <c r="F550" s="55"/>
      <c r="G550" s="56"/>
      <c r="H550" s="133"/>
      <c r="I550" s="134"/>
      <c r="J550" s="134"/>
      <c r="K550" s="55"/>
      <c r="L550" s="55"/>
      <c r="M550" s="54"/>
    </row>
    <row r="551" spans="2:13" ht="49.5" customHeight="1" x14ac:dyDescent="0.3">
      <c r="B551" s="97"/>
      <c r="C551" s="54"/>
      <c r="D551" s="55"/>
      <c r="E551" s="55"/>
      <c r="F551" s="55"/>
      <c r="G551" s="56"/>
      <c r="H551" s="133"/>
      <c r="I551" s="134"/>
      <c r="J551" s="134"/>
      <c r="K551" s="55"/>
      <c r="L551" s="55"/>
      <c r="M551" s="54"/>
    </row>
    <row r="552" spans="2:13" ht="49.5" customHeight="1" x14ac:dyDescent="0.3">
      <c r="B552" s="97"/>
      <c r="C552" s="54"/>
      <c r="D552" s="55"/>
      <c r="E552" s="55"/>
      <c r="F552" s="55"/>
      <c r="G552" s="56"/>
      <c r="H552" s="133"/>
      <c r="I552" s="134"/>
      <c r="J552" s="134"/>
      <c r="K552" s="55"/>
      <c r="L552" s="55"/>
      <c r="M552" s="54"/>
    </row>
    <row r="553" spans="2:13" ht="49.5" customHeight="1" x14ac:dyDescent="0.3">
      <c r="B553" s="97"/>
      <c r="C553" s="54"/>
      <c r="D553" s="55"/>
      <c r="E553" s="55"/>
      <c r="F553" s="55"/>
      <c r="G553" s="56"/>
      <c r="H553" s="133"/>
      <c r="I553" s="134"/>
      <c r="J553" s="134"/>
      <c r="K553" s="55"/>
      <c r="L553" s="55"/>
      <c r="M553" s="54"/>
    </row>
    <row r="554" spans="2:13" ht="49.5" customHeight="1" x14ac:dyDescent="0.3">
      <c r="B554" s="97"/>
      <c r="C554" s="54"/>
      <c r="D554" s="55"/>
      <c r="E554" s="55"/>
      <c r="F554" s="55"/>
      <c r="G554" s="56"/>
      <c r="H554" s="133"/>
      <c r="I554" s="134"/>
      <c r="J554" s="134"/>
      <c r="K554" s="55"/>
      <c r="L554" s="55"/>
      <c r="M554" s="54"/>
    </row>
    <row r="555" spans="2:13" ht="49.5" customHeight="1" x14ac:dyDescent="0.3">
      <c r="B555" s="97"/>
      <c r="C555" s="54"/>
      <c r="D555" s="55"/>
      <c r="E555" s="55"/>
      <c r="F555" s="55"/>
      <c r="G555" s="56"/>
      <c r="H555" s="133"/>
      <c r="I555" s="134"/>
      <c r="J555" s="134"/>
      <c r="K555" s="55"/>
      <c r="L555" s="55"/>
      <c r="M555" s="54"/>
    </row>
    <row r="556" spans="2:13" ht="49.5" customHeight="1" x14ac:dyDescent="0.3">
      <c r="B556" s="97"/>
      <c r="C556" s="54"/>
      <c r="D556" s="55"/>
      <c r="E556" s="55"/>
      <c r="F556" s="55"/>
      <c r="G556" s="56"/>
      <c r="H556" s="133"/>
      <c r="I556" s="134"/>
      <c r="J556" s="134"/>
      <c r="K556" s="55"/>
      <c r="L556" s="55"/>
      <c r="M556" s="54"/>
    </row>
    <row r="557" spans="2:13" ht="49.5" customHeight="1" x14ac:dyDescent="0.3">
      <c r="B557" s="97"/>
      <c r="C557" s="54"/>
      <c r="D557" s="55"/>
      <c r="E557" s="55"/>
      <c r="F557" s="55"/>
      <c r="G557" s="56"/>
      <c r="H557" s="133"/>
      <c r="I557" s="134"/>
      <c r="J557" s="134"/>
      <c r="K557" s="55"/>
      <c r="L557" s="55"/>
      <c r="M557" s="54"/>
    </row>
    <row r="558" spans="2:13" ht="49.5" customHeight="1" x14ac:dyDescent="0.3">
      <c r="B558" s="97"/>
      <c r="C558" s="54"/>
      <c r="D558" s="55"/>
      <c r="E558" s="55"/>
      <c r="F558" s="55"/>
      <c r="G558" s="56"/>
      <c r="H558" s="133"/>
      <c r="I558" s="134"/>
      <c r="J558" s="134"/>
      <c r="K558" s="55"/>
      <c r="L558" s="55"/>
      <c r="M558" s="54"/>
    </row>
    <row r="559" spans="2:13" ht="49.5" customHeight="1" x14ac:dyDescent="0.3">
      <c r="B559" s="97"/>
      <c r="C559" s="54"/>
      <c r="D559" s="55"/>
      <c r="E559" s="55"/>
      <c r="F559" s="55"/>
      <c r="G559" s="56"/>
      <c r="H559" s="133"/>
      <c r="I559" s="134"/>
      <c r="J559" s="134"/>
      <c r="K559" s="55"/>
      <c r="L559" s="55"/>
      <c r="M559" s="54"/>
    </row>
    <row r="560" spans="2:13" ht="49.5" customHeight="1" x14ac:dyDescent="0.3">
      <c r="B560" s="97"/>
      <c r="C560" s="54"/>
      <c r="D560" s="55"/>
      <c r="E560" s="55"/>
      <c r="F560" s="55"/>
      <c r="G560" s="56"/>
      <c r="H560" s="133"/>
      <c r="I560" s="134"/>
      <c r="J560" s="134"/>
      <c r="K560" s="55"/>
      <c r="L560" s="55"/>
      <c r="M560" s="54"/>
    </row>
    <row r="561" spans="2:13" ht="49.5" customHeight="1" x14ac:dyDescent="0.3">
      <c r="B561" s="97"/>
      <c r="C561" s="54"/>
      <c r="D561" s="55"/>
      <c r="E561" s="55"/>
      <c r="F561" s="55"/>
      <c r="G561" s="56"/>
      <c r="H561" s="133"/>
      <c r="I561" s="134"/>
      <c r="J561" s="134"/>
      <c r="K561" s="55"/>
      <c r="L561" s="55"/>
      <c r="M561" s="54"/>
    </row>
    <row r="562" spans="2:13" ht="49.5" customHeight="1" x14ac:dyDescent="0.3">
      <c r="B562" s="97"/>
      <c r="C562" s="54"/>
      <c r="D562" s="55"/>
      <c r="E562" s="55"/>
      <c r="F562" s="55"/>
      <c r="G562" s="56"/>
      <c r="H562" s="133"/>
      <c r="I562" s="134"/>
      <c r="J562" s="134"/>
      <c r="K562" s="55"/>
      <c r="L562" s="55"/>
      <c r="M562" s="54"/>
    </row>
    <row r="563" spans="2:13" ht="49.5" customHeight="1" x14ac:dyDescent="0.3">
      <c r="B563" s="97"/>
      <c r="C563" s="54"/>
      <c r="D563" s="55"/>
      <c r="E563" s="55"/>
      <c r="F563" s="55"/>
      <c r="G563" s="56"/>
      <c r="H563" s="133"/>
      <c r="I563" s="134"/>
      <c r="J563" s="134"/>
      <c r="K563" s="55"/>
      <c r="L563" s="55"/>
      <c r="M563" s="54"/>
    </row>
    <row r="564" spans="2:13" ht="49.5" customHeight="1" x14ac:dyDescent="0.3">
      <c r="B564" s="97"/>
      <c r="C564" s="54"/>
      <c r="D564" s="55"/>
      <c r="E564" s="55"/>
      <c r="F564" s="55"/>
      <c r="G564" s="56"/>
      <c r="H564" s="133"/>
      <c r="I564" s="134"/>
      <c r="J564" s="134"/>
      <c r="K564" s="55"/>
      <c r="L564" s="55"/>
      <c r="M564" s="54"/>
    </row>
    <row r="565" spans="2:13" ht="49.5" customHeight="1" x14ac:dyDescent="0.3">
      <c r="B565" s="97"/>
      <c r="C565" s="54"/>
      <c r="D565" s="55"/>
      <c r="E565" s="55"/>
      <c r="F565" s="55"/>
      <c r="G565" s="56"/>
      <c r="H565" s="133"/>
      <c r="I565" s="134"/>
      <c r="J565" s="134"/>
      <c r="K565" s="55"/>
      <c r="L565" s="55"/>
      <c r="M565" s="54"/>
    </row>
    <row r="566" spans="2:13" ht="49.5" customHeight="1" x14ac:dyDescent="0.3">
      <c r="B566" s="97"/>
      <c r="C566" s="54"/>
      <c r="D566" s="55"/>
      <c r="E566" s="55"/>
      <c r="F566" s="55"/>
      <c r="G566" s="56"/>
      <c r="H566" s="133"/>
      <c r="I566" s="134"/>
      <c r="J566" s="134"/>
      <c r="K566" s="55"/>
      <c r="L566" s="55"/>
      <c r="M566" s="54"/>
    </row>
    <row r="567" spans="2:13" ht="49.5" customHeight="1" x14ac:dyDescent="0.3">
      <c r="B567" s="97"/>
      <c r="C567" s="54"/>
      <c r="D567" s="55"/>
      <c r="E567" s="55"/>
      <c r="F567" s="55"/>
      <c r="G567" s="56"/>
      <c r="H567" s="133"/>
      <c r="I567" s="134"/>
      <c r="J567" s="134"/>
      <c r="K567" s="55"/>
      <c r="L567" s="55"/>
      <c r="M567" s="54"/>
    </row>
    <row r="568" spans="2:13" ht="49.5" customHeight="1" x14ac:dyDescent="0.3">
      <c r="B568" s="97"/>
      <c r="C568" s="54"/>
      <c r="D568" s="55"/>
      <c r="E568" s="55"/>
      <c r="F568" s="55"/>
      <c r="G568" s="56"/>
      <c r="H568" s="133"/>
      <c r="I568" s="134"/>
      <c r="J568" s="134"/>
      <c r="K568" s="55"/>
      <c r="L568" s="55"/>
      <c r="M568" s="54"/>
    </row>
    <row r="569" spans="2:13" ht="49.5" customHeight="1" x14ac:dyDescent="0.3">
      <c r="B569" s="97"/>
      <c r="C569" s="54"/>
      <c r="D569" s="55"/>
      <c r="E569" s="55"/>
      <c r="F569" s="55"/>
      <c r="G569" s="56"/>
      <c r="H569" s="133"/>
      <c r="I569" s="134"/>
      <c r="J569" s="134"/>
      <c r="K569" s="55"/>
      <c r="L569" s="55"/>
      <c r="M569" s="54"/>
    </row>
    <row r="570" spans="2:13" ht="49.5" customHeight="1" x14ac:dyDescent="0.3">
      <c r="B570" s="97"/>
      <c r="C570" s="54"/>
      <c r="D570" s="55"/>
      <c r="E570" s="55"/>
      <c r="F570" s="55"/>
      <c r="G570" s="56"/>
      <c r="H570" s="133"/>
      <c r="I570" s="134"/>
      <c r="J570" s="134"/>
      <c r="K570" s="55"/>
      <c r="L570" s="55"/>
      <c r="M570" s="54"/>
    </row>
    <row r="571" spans="2:13" ht="49.5" customHeight="1" x14ac:dyDescent="0.3">
      <c r="B571" s="97"/>
      <c r="C571" s="54"/>
      <c r="D571" s="55"/>
      <c r="E571" s="55"/>
      <c r="F571" s="55"/>
      <c r="G571" s="56"/>
      <c r="H571" s="133"/>
      <c r="I571" s="134"/>
      <c r="J571" s="134"/>
      <c r="K571" s="55"/>
      <c r="L571" s="55"/>
      <c r="M571" s="54"/>
    </row>
    <row r="572" spans="2:13" ht="49.5" customHeight="1" x14ac:dyDescent="0.3">
      <c r="B572" s="97"/>
      <c r="C572" s="54"/>
      <c r="D572" s="55"/>
      <c r="E572" s="55"/>
      <c r="F572" s="55"/>
      <c r="G572" s="56"/>
      <c r="H572" s="133"/>
      <c r="I572" s="134"/>
      <c r="J572" s="134"/>
      <c r="K572" s="55"/>
      <c r="L572" s="55"/>
      <c r="M572" s="54"/>
    </row>
    <row r="573" spans="2:13" ht="49.5" customHeight="1" x14ac:dyDescent="0.3">
      <c r="B573" s="97"/>
      <c r="C573" s="54"/>
      <c r="D573" s="55"/>
      <c r="E573" s="55"/>
      <c r="F573" s="55"/>
      <c r="G573" s="56"/>
      <c r="H573" s="133"/>
      <c r="I573" s="134"/>
      <c r="J573" s="134"/>
      <c r="K573" s="55"/>
      <c r="L573" s="55"/>
      <c r="M573" s="54"/>
    </row>
    <row r="574" spans="2:13" ht="49.5" customHeight="1" x14ac:dyDescent="0.3">
      <c r="B574" s="97"/>
      <c r="C574" s="54"/>
      <c r="D574" s="55"/>
      <c r="E574" s="55"/>
      <c r="F574" s="55"/>
      <c r="G574" s="56"/>
      <c r="H574" s="133"/>
      <c r="I574" s="134"/>
      <c r="J574" s="134"/>
      <c r="K574" s="55"/>
      <c r="L574" s="55"/>
      <c r="M574" s="54"/>
    </row>
    <row r="575" spans="2:13" ht="49.5" customHeight="1" x14ac:dyDescent="0.3">
      <c r="B575" s="97"/>
      <c r="C575" s="54"/>
      <c r="D575" s="55"/>
      <c r="E575" s="55"/>
      <c r="F575" s="55"/>
      <c r="G575" s="56"/>
      <c r="H575" s="133"/>
      <c r="I575" s="134"/>
      <c r="J575" s="134"/>
      <c r="K575" s="55"/>
      <c r="L575" s="55"/>
      <c r="M575" s="54"/>
    </row>
    <row r="576" spans="2:13" ht="49.5" customHeight="1" x14ac:dyDescent="0.3">
      <c r="B576" s="97"/>
      <c r="C576" s="54"/>
      <c r="D576" s="55"/>
      <c r="E576" s="55"/>
      <c r="F576" s="55"/>
      <c r="G576" s="56"/>
      <c r="H576" s="133"/>
      <c r="I576" s="134"/>
      <c r="J576" s="134"/>
      <c r="K576" s="55"/>
      <c r="L576" s="55"/>
      <c r="M576" s="54"/>
    </row>
    <row r="577" spans="2:13" ht="49.5" customHeight="1" x14ac:dyDescent="0.3">
      <c r="B577" s="97"/>
      <c r="C577" s="54"/>
      <c r="D577" s="55"/>
      <c r="E577" s="55"/>
      <c r="F577" s="55"/>
      <c r="G577" s="56"/>
      <c r="H577" s="133"/>
      <c r="I577" s="134"/>
      <c r="J577" s="134"/>
      <c r="K577" s="55"/>
      <c r="L577" s="55"/>
      <c r="M577" s="54"/>
    </row>
    <row r="578" spans="2:13" ht="49.5" customHeight="1" x14ac:dyDescent="0.3">
      <c r="B578" s="97"/>
      <c r="C578" s="54"/>
      <c r="D578" s="55"/>
      <c r="E578" s="55"/>
      <c r="F578" s="55"/>
      <c r="G578" s="56"/>
      <c r="H578" s="133"/>
      <c r="I578" s="134"/>
      <c r="J578" s="134"/>
      <c r="K578" s="55"/>
      <c r="L578" s="55"/>
      <c r="M578" s="54"/>
    </row>
    <row r="579" spans="2:13" ht="49.5" customHeight="1" x14ac:dyDescent="0.3">
      <c r="B579" s="97"/>
      <c r="C579" s="54"/>
      <c r="D579" s="55"/>
      <c r="E579" s="55"/>
      <c r="F579" s="55"/>
      <c r="G579" s="56"/>
      <c r="H579" s="133"/>
      <c r="I579" s="134"/>
      <c r="J579" s="134"/>
      <c r="K579" s="55"/>
      <c r="L579" s="55"/>
      <c r="M579" s="54"/>
    </row>
    <row r="580" spans="2:13" ht="49.5" customHeight="1" x14ac:dyDescent="0.3">
      <c r="B580" s="97"/>
      <c r="C580" s="54"/>
      <c r="D580" s="55"/>
      <c r="E580" s="55"/>
      <c r="F580" s="55"/>
      <c r="G580" s="56"/>
      <c r="H580" s="133"/>
      <c r="I580" s="134"/>
      <c r="J580" s="134"/>
      <c r="K580" s="55"/>
      <c r="L580" s="55"/>
      <c r="M580" s="54"/>
    </row>
    <row r="581" spans="2:13" ht="49.5" customHeight="1" x14ac:dyDescent="0.3">
      <c r="B581" s="97"/>
      <c r="C581" s="54"/>
      <c r="D581" s="55"/>
      <c r="E581" s="55"/>
      <c r="F581" s="55"/>
      <c r="G581" s="56"/>
      <c r="H581" s="133"/>
      <c r="I581" s="134"/>
      <c r="J581" s="134"/>
      <c r="K581" s="55"/>
      <c r="L581" s="55"/>
      <c r="M581" s="54"/>
    </row>
    <row r="582" spans="2:13" ht="49.5" customHeight="1" x14ac:dyDescent="0.3">
      <c r="B582" s="97"/>
      <c r="C582" s="54"/>
      <c r="D582" s="55"/>
      <c r="E582" s="55"/>
      <c r="F582" s="55"/>
      <c r="G582" s="56"/>
      <c r="H582" s="133"/>
      <c r="I582" s="134"/>
      <c r="J582" s="134"/>
      <c r="K582" s="55"/>
      <c r="L582" s="55"/>
      <c r="M582" s="54"/>
    </row>
    <row r="583" spans="2:13" ht="49.5" customHeight="1" x14ac:dyDescent="0.3">
      <c r="B583" s="97"/>
      <c r="C583" s="54"/>
      <c r="D583" s="55"/>
      <c r="E583" s="55"/>
      <c r="F583" s="55"/>
      <c r="G583" s="56"/>
      <c r="H583" s="133"/>
      <c r="I583" s="134"/>
      <c r="J583" s="134"/>
      <c r="K583" s="55"/>
      <c r="L583" s="55"/>
      <c r="M583" s="54"/>
    </row>
    <row r="584" spans="2:13" ht="49.5" customHeight="1" x14ac:dyDescent="0.3">
      <c r="B584" s="97"/>
      <c r="C584" s="54"/>
      <c r="D584" s="55"/>
      <c r="E584" s="55"/>
      <c r="F584" s="55"/>
      <c r="G584" s="56"/>
      <c r="H584" s="133"/>
      <c r="I584" s="134"/>
      <c r="J584" s="134"/>
      <c r="K584" s="55"/>
      <c r="L584" s="55"/>
      <c r="M584" s="54"/>
    </row>
    <row r="585" spans="2:13" ht="49.5" customHeight="1" x14ac:dyDescent="0.3">
      <c r="B585" s="97"/>
      <c r="C585" s="54"/>
      <c r="D585" s="55"/>
      <c r="E585" s="55"/>
      <c r="F585" s="55"/>
      <c r="G585" s="56"/>
      <c r="H585" s="133"/>
      <c r="I585" s="134"/>
      <c r="J585" s="134"/>
      <c r="K585" s="55"/>
      <c r="L585" s="55"/>
      <c r="M585" s="54"/>
    </row>
    <row r="586" spans="2:13" ht="49.5" customHeight="1" x14ac:dyDescent="0.3">
      <c r="B586" s="97"/>
      <c r="C586" s="54"/>
      <c r="D586" s="55"/>
      <c r="E586" s="55"/>
      <c r="F586" s="55"/>
      <c r="G586" s="56"/>
      <c r="H586" s="133"/>
      <c r="I586" s="134"/>
      <c r="J586" s="134"/>
      <c r="K586" s="55"/>
      <c r="L586" s="55"/>
      <c r="M586" s="54"/>
    </row>
    <row r="587" spans="2:13" ht="49.5" customHeight="1" x14ac:dyDescent="0.3">
      <c r="B587" s="97"/>
      <c r="C587" s="54"/>
      <c r="D587" s="55"/>
      <c r="E587" s="55"/>
      <c r="F587" s="55"/>
      <c r="G587" s="56"/>
      <c r="H587" s="133"/>
      <c r="I587" s="134"/>
      <c r="J587" s="134"/>
      <c r="K587" s="55"/>
      <c r="L587" s="55"/>
      <c r="M587" s="54"/>
    </row>
    <row r="588" spans="2:13" ht="49.5" customHeight="1" x14ac:dyDescent="0.3">
      <c r="B588" s="97"/>
      <c r="C588" s="54"/>
      <c r="D588" s="55"/>
      <c r="E588" s="55"/>
      <c r="F588" s="55"/>
      <c r="G588" s="56"/>
      <c r="H588" s="133"/>
      <c r="I588" s="134"/>
      <c r="J588" s="134"/>
      <c r="K588" s="55"/>
      <c r="L588" s="55"/>
      <c r="M588" s="54"/>
    </row>
    <row r="589" spans="2:13" ht="49.5" customHeight="1" x14ac:dyDescent="0.3">
      <c r="B589" s="97"/>
      <c r="C589" s="54"/>
      <c r="D589" s="55"/>
      <c r="E589" s="55"/>
      <c r="F589" s="55"/>
      <c r="G589" s="56"/>
      <c r="H589" s="133"/>
      <c r="I589" s="134"/>
      <c r="J589" s="134"/>
      <c r="K589" s="55"/>
      <c r="L589" s="55"/>
      <c r="M589" s="54"/>
    </row>
    <row r="590" spans="2:13" ht="49.5" customHeight="1" x14ac:dyDescent="0.3">
      <c r="B590" s="97"/>
      <c r="C590" s="54"/>
      <c r="D590" s="55"/>
      <c r="E590" s="55"/>
      <c r="F590" s="55"/>
      <c r="G590" s="56"/>
      <c r="H590" s="133"/>
      <c r="I590" s="134"/>
      <c r="J590" s="134"/>
      <c r="K590" s="55"/>
      <c r="L590" s="55"/>
      <c r="M590" s="54"/>
    </row>
    <row r="591" spans="2:13" ht="49.5" customHeight="1" x14ac:dyDescent="0.3">
      <c r="B591" s="97"/>
      <c r="C591" s="54"/>
      <c r="D591" s="55"/>
      <c r="E591" s="55"/>
      <c r="F591" s="55"/>
      <c r="G591" s="56"/>
      <c r="H591" s="133"/>
      <c r="I591" s="134"/>
      <c r="J591" s="134"/>
      <c r="K591" s="55"/>
      <c r="L591" s="55"/>
      <c r="M591" s="54"/>
    </row>
    <row r="592" spans="2:13" ht="49.5" customHeight="1" x14ac:dyDescent="0.3">
      <c r="B592" s="97"/>
      <c r="C592" s="54"/>
      <c r="D592" s="55"/>
      <c r="E592" s="55"/>
      <c r="F592" s="55"/>
      <c r="G592" s="56"/>
      <c r="H592" s="133"/>
      <c r="I592" s="134"/>
      <c r="J592" s="134"/>
      <c r="K592" s="55"/>
      <c r="L592" s="55"/>
      <c r="M592" s="54"/>
    </row>
    <row r="593" spans="2:13" ht="49.5" customHeight="1" x14ac:dyDescent="0.3">
      <c r="B593" s="97"/>
      <c r="C593" s="54"/>
      <c r="D593" s="55"/>
      <c r="E593" s="55"/>
      <c r="F593" s="55"/>
      <c r="G593" s="56"/>
      <c r="H593" s="133"/>
      <c r="I593" s="134"/>
      <c r="J593" s="134"/>
      <c r="K593" s="55"/>
      <c r="L593" s="55"/>
      <c r="M593" s="54"/>
    </row>
    <row r="594" spans="2:13" ht="49.5" customHeight="1" x14ac:dyDescent="0.3">
      <c r="B594" s="97"/>
      <c r="C594" s="54"/>
      <c r="D594" s="55"/>
      <c r="E594" s="55"/>
      <c r="F594" s="55"/>
      <c r="G594" s="56"/>
      <c r="H594" s="133"/>
      <c r="I594" s="134"/>
      <c r="J594" s="134"/>
      <c r="K594" s="55"/>
      <c r="L594" s="55"/>
      <c r="M594" s="54"/>
    </row>
    <row r="595" spans="2:13" ht="49.5" customHeight="1" x14ac:dyDescent="0.3">
      <c r="B595" s="97"/>
      <c r="C595" s="54"/>
      <c r="D595" s="55"/>
      <c r="E595" s="55"/>
      <c r="F595" s="55"/>
      <c r="G595" s="56"/>
      <c r="H595" s="133"/>
      <c r="I595" s="134"/>
      <c r="J595" s="134"/>
      <c r="K595" s="55"/>
      <c r="L595" s="55"/>
      <c r="M595" s="54"/>
    </row>
    <row r="596" spans="2:13" ht="49.5" customHeight="1" x14ac:dyDescent="0.3">
      <c r="B596" s="97"/>
      <c r="C596" s="54"/>
      <c r="D596" s="55"/>
      <c r="E596" s="55"/>
      <c r="F596" s="55"/>
      <c r="G596" s="56"/>
      <c r="H596" s="133"/>
      <c r="I596" s="134"/>
      <c r="J596" s="134"/>
      <c r="K596" s="55"/>
      <c r="L596" s="55"/>
      <c r="M596" s="54"/>
    </row>
    <row r="597" spans="2:13" ht="49.5" customHeight="1" x14ac:dyDescent="0.3">
      <c r="B597" s="97"/>
      <c r="C597" s="54"/>
      <c r="D597" s="55"/>
      <c r="E597" s="55"/>
      <c r="F597" s="55"/>
      <c r="G597" s="56"/>
      <c r="H597" s="133"/>
      <c r="I597" s="134"/>
      <c r="J597" s="134"/>
      <c r="K597" s="55"/>
      <c r="L597" s="55"/>
      <c r="M597" s="54"/>
    </row>
    <row r="598" spans="2:13" ht="49.5" customHeight="1" x14ac:dyDescent="0.3">
      <c r="B598" s="97"/>
      <c r="C598" s="54"/>
      <c r="D598" s="55"/>
      <c r="E598" s="55"/>
      <c r="F598" s="55"/>
      <c r="G598" s="56"/>
      <c r="H598" s="133"/>
      <c r="I598" s="134"/>
      <c r="J598" s="134"/>
      <c r="K598" s="55"/>
      <c r="L598" s="55"/>
      <c r="M598" s="54"/>
    </row>
    <row r="599" spans="2:13" ht="49.5" customHeight="1" x14ac:dyDescent="0.3">
      <c r="B599" s="97"/>
      <c r="C599" s="54"/>
      <c r="D599" s="55"/>
      <c r="E599" s="55"/>
      <c r="F599" s="55"/>
      <c r="G599" s="56"/>
      <c r="H599" s="133"/>
      <c r="I599" s="134"/>
      <c r="J599" s="134"/>
      <c r="K599" s="55"/>
      <c r="L599" s="55"/>
      <c r="M599" s="54"/>
    </row>
    <row r="600" spans="2:13" ht="49.5" customHeight="1" x14ac:dyDescent="0.3">
      <c r="B600" s="97"/>
      <c r="C600" s="54"/>
      <c r="D600" s="55"/>
      <c r="E600" s="55"/>
      <c r="F600" s="55"/>
      <c r="G600" s="56"/>
      <c r="H600" s="133"/>
      <c r="I600" s="134"/>
      <c r="J600" s="134"/>
      <c r="K600" s="55"/>
      <c r="L600" s="55"/>
      <c r="M600" s="54"/>
    </row>
    <row r="601" spans="2:13" ht="49.5" customHeight="1" x14ac:dyDescent="0.3">
      <c r="B601" s="97"/>
      <c r="C601" s="54"/>
      <c r="D601" s="55"/>
      <c r="E601" s="55"/>
      <c r="F601" s="55"/>
      <c r="G601" s="56"/>
      <c r="H601" s="133"/>
      <c r="I601" s="134"/>
      <c r="J601" s="134"/>
      <c r="K601" s="55"/>
      <c r="L601" s="55"/>
      <c r="M601" s="54"/>
    </row>
    <row r="602" spans="2:13" ht="49.5" customHeight="1" x14ac:dyDescent="0.3">
      <c r="B602" s="97"/>
      <c r="C602" s="54"/>
      <c r="D602" s="55"/>
      <c r="E602" s="55"/>
      <c r="F602" s="55"/>
      <c r="G602" s="56"/>
      <c r="H602" s="133"/>
      <c r="I602" s="134"/>
      <c r="J602" s="134"/>
      <c r="K602" s="55"/>
      <c r="L602" s="55"/>
      <c r="M602" s="54"/>
    </row>
    <row r="603" spans="2:13" ht="49.5" customHeight="1" x14ac:dyDescent="0.3">
      <c r="B603" s="97"/>
      <c r="C603" s="54"/>
      <c r="D603" s="55"/>
      <c r="E603" s="55"/>
      <c r="F603" s="55"/>
      <c r="G603" s="56"/>
      <c r="H603" s="133"/>
      <c r="I603" s="134"/>
      <c r="J603" s="134"/>
      <c r="K603" s="55"/>
      <c r="L603" s="55"/>
      <c r="M603" s="54"/>
    </row>
    <row r="604" spans="2:13" ht="49.5" customHeight="1" x14ac:dyDescent="0.3">
      <c r="B604" s="97"/>
      <c r="C604" s="54"/>
      <c r="D604" s="55"/>
      <c r="E604" s="55"/>
      <c r="F604" s="55"/>
      <c r="G604" s="56"/>
      <c r="H604" s="133"/>
      <c r="I604" s="134"/>
      <c r="J604" s="134"/>
      <c r="K604" s="55"/>
      <c r="L604" s="55"/>
      <c r="M604" s="54"/>
    </row>
    <row r="605" spans="2:13" ht="49.5" customHeight="1" x14ac:dyDescent="0.3">
      <c r="B605" s="97"/>
      <c r="C605" s="54"/>
      <c r="D605" s="55"/>
      <c r="E605" s="55"/>
      <c r="F605" s="55"/>
      <c r="G605" s="56"/>
      <c r="H605" s="133"/>
      <c r="I605" s="134"/>
      <c r="J605" s="134"/>
      <c r="K605" s="55"/>
      <c r="L605" s="55"/>
      <c r="M605" s="54"/>
    </row>
    <row r="606" spans="2:13" ht="49.5" customHeight="1" x14ac:dyDescent="0.3">
      <c r="B606" s="97"/>
      <c r="C606" s="54"/>
      <c r="D606" s="55"/>
      <c r="E606" s="55"/>
      <c r="F606" s="55"/>
      <c r="G606" s="56"/>
      <c r="H606" s="133"/>
      <c r="I606" s="134"/>
      <c r="J606" s="134"/>
      <c r="K606" s="55"/>
      <c r="L606" s="55"/>
      <c r="M606" s="54"/>
    </row>
    <row r="607" spans="2:13" ht="49.5" customHeight="1" x14ac:dyDescent="0.3">
      <c r="B607" s="97"/>
      <c r="C607" s="54"/>
      <c r="D607" s="55"/>
      <c r="E607" s="55"/>
      <c r="F607" s="55"/>
      <c r="G607" s="56"/>
      <c r="H607" s="133"/>
      <c r="I607" s="134"/>
      <c r="J607" s="134"/>
      <c r="K607" s="55"/>
      <c r="L607" s="55"/>
      <c r="M607" s="54"/>
    </row>
    <row r="608" spans="2:13" ht="49.5" customHeight="1" x14ac:dyDescent="0.3">
      <c r="B608" s="97"/>
      <c r="C608" s="54"/>
      <c r="D608" s="55"/>
      <c r="E608" s="55"/>
      <c r="F608" s="55"/>
      <c r="G608" s="56"/>
      <c r="H608" s="133"/>
      <c r="I608" s="134"/>
      <c r="J608" s="134"/>
      <c r="K608" s="55"/>
      <c r="L608" s="55"/>
      <c r="M608" s="54"/>
    </row>
    <row r="609" spans="2:13" ht="49.5" customHeight="1" x14ac:dyDescent="0.3">
      <c r="B609" s="97"/>
      <c r="C609" s="54"/>
      <c r="D609" s="55"/>
      <c r="E609" s="55"/>
      <c r="F609" s="55"/>
      <c r="G609" s="56"/>
      <c r="H609" s="133"/>
      <c r="I609" s="134"/>
      <c r="J609" s="134"/>
      <c r="K609" s="55"/>
      <c r="L609" s="55"/>
      <c r="M609" s="54"/>
    </row>
    <row r="610" spans="2:13" ht="49.5" customHeight="1" x14ac:dyDescent="0.3">
      <c r="B610" s="97"/>
      <c r="C610" s="54"/>
      <c r="D610" s="55"/>
      <c r="E610" s="55"/>
      <c r="F610" s="55"/>
      <c r="G610" s="56"/>
      <c r="H610" s="133"/>
      <c r="I610" s="134"/>
      <c r="J610" s="134"/>
      <c r="K610" s="55"/>
      <c r="L610" s="55"/>
      <c r="M610" s="54"/>
    </row>
    <row r="611" spans="2:13" ht="49.5" customHeight="1" x14ac:dyDescent="0.3">
      <c r="B611" s="97"/>
      <c r="C611" s="54"/>
      <c r="D611" s="55"/>
      <c r="E611" s="55"/>
      <c r="F611" s="55"/>
      <c r="G611" s="56"/>
      <c r="H611" s="133"/>
      <c r="I611" s="134"/>
      <c r="J611" s="134"/>
      <c r="K611" s="55"/>
      <c r="L611" s="55"/>
      <c r="M611" s="54"/>
    </row>
    <row r="612" spans="2:13" ht="49.5" customHeight="1" x14ac:dyDescent="0.3">
      <c r="B612" s="97"/>
      <c r="C612" s="54"/>
      <c r="D612" s="55"/>
      <c r="E612" s="55"/>
      <c r="F612" s="55"/>
      <c r="G612" s="56"/>
      <c r="H612" s="133"/>
      <c r="I612" s="134"/>
      <c r="J612" s="134"/>
      <c r="K612" s="55"/>
      <c r="L612" s="55"/>
      <c r="M612" s="54"/>
    </row>
    <row r="613" spans="2:13" ht="49.5" customHeight="1" x14ac:dyDescent="0.3">
      <c r="B613" s="97"/>
      <c r="C613" s="54"/>
      <c r="D613" s="55"/>
      <c r="E613" s="55"/>
      <c r="F613" s="55"/>
      <c r="G613" s="56"/>
      <c r="H613" s="133"/>
      <c r="I613" s="134"/>
      <c r="J613" s="134"/>
      <c r="K613" s="55"/>
      <c r="L613" s="55"/>
      <c r="M613" s="54"/>
    </row>
    <row r="614" spans="2:13" ht="49.5" customHeight="1" x14ac:dyDescent="0.3">
      <c r="B614" s="97"/>
      <c r="C614" s="54"/>
      <c r="D614" s="55"/>
      <c r="E614" s="55"/>
      <c r="F614" s="55"/>
      <c r="G614" s="56"/>
      <c r="H614" s="133"/>
      <c r="I614" s="134"/>
      <c r="J614" s="134"/>
      <c r="K614" s="55"/>
      <c r="L614" s="55"/>
      <c r="M614" s="54"/>
    </row>
    <row r="615" spans="2:13" ht="49.5" customHeight="1" x14ac:dyDescent="0.3">
      <c r="B615" s="97"/>
      <c r="C615" s="54"/>
      <c r="D615" s="55"/>
      <c r="E615" s="55"/>
      <c r="F615" s="55"/>
      <c r="G615" s="56"/>
      <c r="H615" s="133"/>
      <c r="I615" s="134"/>
      <c r="J615" s="134"/>
      <c r="K615" s="55"/>
      <c r="L615" s="55"/>
      <c r="M615" s="54"/>
    </row>
    <row r="616" spans="2:13" ht="49.5" customHeight="1" x14ac:dyDescent="0.3">
      <c r="B616" s="97"/>
      <c r="C616" s="54"/>
      <c r="D616" s="55"/>
      <c r="E616" s="55"/>
      <c r="F616" s="55"/>
      <c r="G616" s="56"/>
      <c r="H616" s="133"/>
      <c r="I616" s="134"/>
      <c r="J616" s="134"/>
      <c r="K616" s="55"/>
      <c r="L616" s="55"/>
      <c r="M616" s="54"/>
    </row>
    <row r="617" spans="2:13" ht="49.5" customHeight="1" x14ac:dyDescent="0.3">
      <c r="B617" s="97"/>
      <c r="C617" s="54"/>
      <c r="D617" s="55"/>
      <c r="E617" s="55"/>
      <c r="F617" s="55"/>
      <c r="G617" s="56"/>
      <c r="H617" s="133"/>
      <c r="I617" s="134"/>
      <c r="J617" s="134"/>
      <c r="K617" s="55"/>
      <c r="L617" s="55"/>
      <c r="M617" s="54"/>
    </row>
    <row r="618" spans="2:13" ht="49.5" customHeight="1" x14ac:dyDescent="0.3">
      <c r="B618" s="97"/>
      <c r="C618" s="54"/>
      <c r="D618" s="55"/>
      <c r="E618" s="55"/>
      <c r="F618" s="55"/>
      <c r="G618" s="56"/>
      <c r="H618" s="133"/>
      <c r="I618" s="134"/>
      <c r="J618" s="134"/>
      <c r="K618" s="55"/>
      <c r="L618" s="55"/>
      <c r="M618" s="54"/>
    </row>
    <row r="619" spans="2:13" ht="49.5" customHeight="1" x14ac:dyDescent="0.3">
      <c r="B619" s="97"/>
      <c r="C619" s="54"/>
      <c r="D619" s="55"/>
      <c r="E619" s="55"/>
      <c r="F619" s="55"/>
      <c r="G619" s="56"/>
      <c r="H619" s="133"/>
      <c r="I619" s="134"/>
      <c r="J619" s="134"/>
      <c r="K619" s="55"/>
      <c r="L619" s="55"/>
      <c r="M619" s="54"/>
    </row>
    <row r="620" spans="2:13" ht="49.5" customHeight="1" x14ac:dyDescent="0.3">
      <c r="B620" s="97"/>
      <c r="C620" s="54"/>
      <c r="D620" s="55"/>
      <c r="E620" s="55"/>
      <c r="F620" s="55"/>
      <c r="G620" s="56"/>
      <c r="H620" s="133"/>
      <c r="I620" s="134"/>
      <c r="J620" s="134"/>
      <c r="K620" s="55"/>
      <c r="L620" s="55"/>
      <c r="M620" s="54"/>
    </row>
    <row r="621" spans="2:13" ht="49.5" customHeight="1" x14ac:dyDescent="0.3">
      <c r="B621" s="97"/>
      <c r="C621" s="54"/>
      <c r="D621" s="55"/>
      <c r="E621" s="55"/>
      <c r="F621" s="55"/>
      <c r="G621" s="56"/>
      <c r="H621" s="133"/>
      <c r="I621" s="134"/>
      <c r="J621" s="134"/>
      <c r="K621" s="55"/>
      <c r="L621" s="55"/>
      <c r="M621" s="54"/>
    </row>
    <row r="622" spans="2:13" ht="49.5" customHeight="1" x14ac:dyDescent="0.3">
      <c r="B622" s="97"/>
      <c r="C622" s="54"/>
      <c r="D622" s="55"/>
      <c r="E622" s="55"/>
      <c r="F622" s="55"/>
      <c r="G622" s="56"/>
      <c r="H622" s="133"/>
      <c r="I622" s="134"/>
      <c r="J622" s="134"/>
      <c r="K622" s="55"/>
      <c r="L622" s="55"/>
      <c r="M622" s="54"/>
    </row>
    <row r="623" spans="2:13" ht="49.5" customHeight="1" x14ac:dyDescent="0.3">
      <c r="B623" s="97"/>
      <c r="C623" s="54"/>
      <c r="D623" s="55"/>
      <c r="E623" s="55"/>
      <c r="F623" s="55"/>
      <c r="G623" s="56"/>
      <c r="H623" s="133"/>
      <c r="I623" s="134"/>
      <c r="J623" s="134"/>
      <c r="K623" s="55"/>
      <c r="L623" s="55"/>
      <c r="M623" s="54"/>
    </row>
    <row r="624" spans="2:13" ht="49.5" customHeight="1" x14ac:dyDescent="0.3">
      <c r="B624" s="97"/>
      <c r="C624" s="54"/>
      <c r="D624" s="55"/>
      <c r="E624" s="55"/>
      <c r="F624" s="55"/>
      <c r="G624" s="56"/>
      <c r="H624" s="133"/>
      <c r="I624" s="134"/>
      <c r="J624" s="134"/>
      <c r="K624" s="55"/>
      <c r="L624" s="55"/>
      <c r="M624" s="54"/>
    </row>
    <row r="625" spans="2:13" ht="49.5" customHeight="1" x14ac:dyDescent="0.3">
      <c r="B625" s="97"/>
      <c r="C625" s="54"/>
      <c r="D625" s="55"/>
      <c r="E625" s="55"/>
      <c r="F625" s="55"/>
      <c r="G625" s="56"/>
      <c r="H625" s="133"/>
      <c r="I625" s="134"/>
      <c r="J625" s="134"/>
      <c r="K625" s="55"/>
      <c r="L625" s="55"/>
      <c r="M625" s="54"/>
    </row>
    <row r="626" spans="2:13" ht="49.5" customHeight="1" x14ac:dyDescent="0.3">
      <c r="B626" s="97"/>
      <c r="C626" s="54"/>
      <c r="D626" s="55"/>
      <c r="E626" s="55"/>
      <c r="F626" s="55"/>
      <c r="G626" s="56"/>
      <c r="H626" s="133"/>
      <c r="I626" s="134"/>
      <c r="J626" s="134"/>
      <c r="K626" s="55"/>
      <c r="L626" s="55"/>
      <c r="M626" s="54"/>
    </row>
    <row r="627" spans="2:13" ht="49.5" customHeight="1" x14ac:dyDescent="0.3">
      <c r="B627" s="97"/>
      <c r="C627" s="54"/>
      <c r="D627" s="55"/>
      <c r="E627" s="55"/>
      <c r="F627" s="55"/>
      <c r="G627" s="56"/>
      <c r="H627" s="133"/>
      <c r="I627" s="134"/>
      <c r="J627" s="134"/>
      <c r="K627" s="55"/>
      <c r="L627" s="55"/>
      <c r="M627" s="54"/>
    </row>
    <row r="628" spans="2:13" ht="49.5" customHeight="1" x14ac:dyDescent="0.3">
      <c r="B628" s="97"/>
      <c r="C628" s="54"/>
      <c r="D628" s="55"/>
      <c r="E628" s="55"/>
      <c r="F628" s="55"/>
      <c r="G628" s="56"/>
      <c r="H628" s="133"/>
      <c r="I628" s="134"/>
      <c r="J628" s="134"/>
      <c r="K628" s="55"/>
      <c r="L628" s="55"/>
      <c r="M628" s="54"/>
    </row>
    <row r="629" spans="2:13" ht="49.5" customHeight="1" x14ac:dyDescent="0.3">
      <c r="B629" s="97"/>
      <c r="C629" s="54"/>
      <c r="D629" s="55"/>
      <c r="E629" s="55"/>
      <c r="F629" s="55"/>
      <c r="G629" s="56"/>
      <c r="H629" s="133"/>
      <c r="I629" s="134"/>
      <c r="J629" s="134"/>
      <c r="K629" s="55"/>
      <c r="L629" s="55"/>
      <c r="M629" s="54"/>
    </row>
    <row r="630" spans="2:13" ht="49.5" customHeight="1" x14ac:dyDescent="0.3">
      <c r="B630" s="97"/>
      <c r="C630" s="54"/>
      <c r="D630" s="55"/>
      <c r="E630" s="55"/>
      <c r="F630" s="55"/>
      <c r="G630" s="56"/>
      <c r="H630" s="133"/>
      <c r="I630" s="134"/>
      <c r="J630" s="134"/>
      <c r="K630" s="55"/>
      <c r="L630" s="55"/>
      <c r="M630" s="54"/>
    </row>
    <row r="631" spans="2:13" ht="49.5" customHeight="1" x14ac:dyDescent="0.3">
      <c r="B631" s="97"/>
      <c r="C631" s="54"/>
      <c r="D631" s="55"/>
      <c r="E631" s="55"/>
      <c r="F631" s="55"/>
      <c r="G631" s="56"/>
      <c r="H631" s="133"/>
      <c r="I631" s="134"/>
      <c r="J631" s="134"/>
      <c r="K631" s="55"/>
      <c r="L631" s="55"/>
      <c r="M631" s="54"/>
    </row>
    <row r="632" spans="2:13" ht="49.5" customHeight="1" x14ac:dyDescent="0.3">
      <c r="B632" s="97"/>
      <c r="C632" s="54"/>
      <c r="D632" s="55"/>
      <c r="E632" s="55"/>
      <c r="F632" s="55"/>
      <c r="G632" s="56"/>
      <c r="H632" s="133"/>
      <c r="I632" s="134"/>
      <c r="J632" s="134"/>
      <c r="K632" s="55"/>
      <c r="L632" s="55"/>
      <c r="M632" s="54"/>
    </row>
    <row r="633" spans="2:13" ht="49.5" customHeight="1" x14ac:dyDescent="0.3">
      <c r="B633" s="97"/>
      <c r="C633" s="54"/>
      <c r="D633" s="55"/>
      <c r="E633" s="55"/>
      <c r="F633" s="55"/>
      <c r="G633" s="56"/>
      <c r="H633" s="133"/>
      <c r="I633" s="134"/>
      <c r="J633" s="134"/>
      <c r="K633" s="55"/>
      <c r="L633" s="55"/>
      <c r="M633" s="54"/>
    </row>
    <row r="634" spans="2:13" ht="49.5" customHeight="1" x14ac:dyDescent="0.3">
      <c r="B634" s="97"/>
      <c r="C634" s="54"/>
      <c r="D634" s="55"/>
      <c r="E634" s="55"/>
      <c r="F634" s="55"/>
      <c r="G634" s="56"/>
      <c r="H634" s="133"/>
      <c r="I634" s="134"/>
      <c r="J634" s="134"/>
      <c r="K634" s="55"/>
      <c r="L634" s="55"/>
      <c r="M634" s="54"/>
    </row>
    <row r="635" spans="2:13" ht="49.5" customHeight="1" x14ac:dyDescent="0.3">
      <c r="B635" s="97"/>
      <c r="C635" s="54"/>
      <c r="D635" s="55"/>
      <c r="E635" s="55"/>
      <c r="F635" s="55"/>
      <c r="G635" s="56"/>
      <c r="H635" s="133"/>
      <c r="I635" s="134"/>
      <c r="J635" s="134"/>
      <c r="K635" s="55"/>
      <c r="L635" s="55"/>
      <c r="M635" s="54"/>
    </row>
    <row r="636" spans="2:13" ht="49.5" customHeight="1" x14ac:dyDescent="0.3">
      <c r="B636" s="97"/>
      <c r="C636" s="54"/>
      <c r="D636" s="55"/>
      <c r="E636" s="55"/>
      <c r="F636" s="55"/>
      <c r="G636" s="56"/>
      <c r="H636" s="133"/>
      <c r="I636" s="134"/>
      <c r="J636" s="134"/>
      <c r="K636" s="55"/>
      <c r="L636" s="55"/>
      <c r="M636" s="54"/>
    </row>
    <row r="637" spans="2:13" ht="49.5" customHeight="1" x14ac:dyDescent="0.3">
      <c r="B637" s="97"/>
      <c r="C637" s="54"/>
      <c r="D637" s="55"/>
      <c r="E637" s="55"/>
      <c r="F637" s="55"/>
      <c r="G637" s="56"/>
      <c r="H637" s="133"/>
      <c r="I637" s="134"/>
      <c r="J637" s="134"/>
      <c r="K637" s="55"/>
      <c r="L637" s="55"/>
      <c r="M637" s="54"/>
    </row>
    <row r="638" spans="2:13" ht="49.5" customHeight="1" x14ac:dyDescent="0.3">
      <c r="B638" s="97"/>
      <c r="C638" s="54"/>
      <c r="D638" s="55"/>
      <c r="E638" s="55"/>
      <c r="F638" s="55"/>
      <c r="G638" s="56"/>
      <c r="H638" s="133"/>
      <c r="I638" s="134"/>
      <c r="J638" s="134"/>
      <c r="K638" s="55"/>
      <c r="L638" s="55"/>
      <c r="M638" s="54"/>
    </row>
    <row r="639" spans="2:13" ht="49.5" customHeight="1" x14ac:dyDescent="0.3">
      <c r="B639" s="97"/>
      <c r="C639" s="54"/>
      <c r="D639" s="55"/>
      <c r="E639" s="55"/>
      <c r="F639" s="55"/>
      <c r="G639" s="56"/>
      <c r="H639" s="133"/>
      <c r="I639" s="134"/>
      <c r="J639" s="134"/>
      <c r="K639" s="55"/>
      <c r="L639" s="55"/>
      <c r="M639" s="54"/>
    </row>
    <row r="640" spans="2:13" ht="49.5" customHeight="1" x14ac:dyDescent="0.3">
      <c r="B640" s="97"/>
      <c r="C640" s="54"/>
      <c r="D640" s="55"/>
      <c r="E640" s="55"/>
      <c r="F640" s="55"/>
      <c r="G640" s="56"/>
      <c r="H640" s="133"/>
      <c r="I640" s="134"/>
      <c r="J640" s="134"/>
      <c r="K640" s="55"/>
      <c r="L640" s="55"/>
      <c r="M640" s="54"/>
    </row>
    <row r="641" spans="2:13" ht="49.5" customHeight="1" x14ac:dyDescent="0.3">
      <c r="B641" s="97"/>
      <c r="C641" s="54"/>
      <c r="D641" s="55"/>
      <c r="E641" s="55"/>
      <c r="F641" s="55"/>
      <c r="G641" s="56"/>
      <c r="H641" s="133"/>
      <c r="I641" s="134"/>
      <c r="J641" s="134"/>
      <c r="K641" s="55"/>
      <c r="L641" s="55"/>
      <c r="M641" s="54"/>
    </row>
    <row r="642" spans="2:13" ht="49.5" customHeight="1" x14ac:dyDescent="0.3">
      <c r="B642" s="97"/>
      <c r="C642" s="54"/>
      <c r="D642" s="55"/>
      <c r="E642" s="55"/>
      <c r="F642" s="55"/>
      <c r="G642" s="56"/>
      <c r="H642" s="133"/>
      <c r="I642" s="134"/>
      <c r="J642" s="134"/>
      <c r="K642" s="55"/>
      <c r="L642" s="55"/>
      <c r="M642" s="54"/>
    </row>
    <row r="643" spans="2:13" ht="49.5" customHeight="1" x14ac:dyDescent="0.3">
      <c r="B643" s="97"/>
      <c r="C643" s="54"/>
      <c r="D643" s="55"/>
      <c r="E643" s="55"/>
      <c r="F643" s="55"/>
      <c r="G643" s="56"/>
      <c r="H643" s="133"/>
      <c r="I643" s="134"/>
      <c r="J643" s="134"/>
      <c r="K643" s="55"/>
      <c r="L643" s="55"/>
      <c r="M643" s="54"/>
    </row>
    <row r="644" spans="2:13" ht="49.5" customHeight="1" x14ac:dyDescent="0.3">
      <c r="B644" s="97"/>
      <c r="C644" s="54"/>
      <c r="D644" s="55"/>
      <c r="E644" s="55"/>
      <c r="F644" s="55"/>
      <c r="G644" s="56"/>
      <c r="H644" s="133"/>
      <c r="I644" s="134"/>
      <c r="J644" s="134"/>
      <c r="K644" s="55"/>
      <c r="L644" s="55"/>
      <c r="M644" s="54"/>
    </row>
    <row r="645" spans="2:13" ht="49.5" customHeight="1" x14ac:dyDescent="0.3">
      <c r="B645" s="97"/>
      <c r="C645" s="54"/>
      <c r="D645" s="55"/>
      <c r="E645" s="55"/>
      <c r="F645" s="55"/>
      <c r="G645" s="56"/>
      <c r="H645" s="133"/>
      <c r="I645" s="134"/>
      <c r="J645" s="134"/>
      <c r="K645" s="55"/>
      <c r="L645" s="55"/>
      <c r="M645" s="54"/>
    </row>
    <row r="646" spans="2:13" ht="49.5" customHeight="1" x14ac:dyDescent="0.3">
      <c r="B646" s="97"/>
      <c r="C646" s="54"/>
      <c r="D646" s="55"/>
      <c r="E646" s="55"/>
      <c r="F646" s="55"/>
      <c r="G646" s="56"/>
      <c r="H646" s="133"/>
      <c r="I646" s="134"/>
      <c r="J646" s="134"/>
      <c r="K646" s="55"/>
      <c r="L646" s="55"/>
      <c r="M646" s="54"/>
    </row>
    <row r="647" spans="2:13" ht="49.5" customHeight="1" x14ac:dyDescent="0.3">
      <c r="B647" s="97"/>
      <c r="C647" s="54"/>
      <c r="D647" s="55"/>
      <c r="E647" s="55"/>
      <c r="F647" s="55"/>
      <c r="G647" s="56"/>
      <c r="H647" s="133"/>
      <c r="I647" s="134"/>
      <c r="J647" s="134"/>
      <c r="K647" s="55"/>
      <c r="L647" s="55"/>
      <c r="M647" s="54"/>
    </row>
    <row r="648" spans="2:13" ht="49.5" customHeight="1" x14ac:dyDescent="0.3">
      <c r="B648" s="97"/>
      <c r="C648" s="54"/>
      <c r="D648" s="55"/>
      <c r="E648" s="55"/>
      <c r="F648" s="55"/>
      <c r="G648" s="56"/>
      <c r="H648" s="133"/>
      <c r="I648" s="134"/>
      <c r="J648" s="134"/>
      <c r="K648" s="55"/>
      <c r="L648" s="55"/>
      <c r="M648" s="54"/>
    </row>
    <row r="649" spans="2:13" ht="49.5" customHeight="1" x14ac:dyDescent="0.3">
      <c r="B649" s="97"/>
      <c r="C649" s="54"/>
      <c r="D649" s="55"/>
      <c r="E649" s="55"/>
      <c r="F649" s="55"/>
      <c r="G649" s="56"/>
      <c r="H649" s="133"/>
      <c r="I649" s="134"/>
      <c r="J649" s="134"/>
      <c r="K649" s="55"/>
      <c r="L649" s="55"/>
      <c r="M649" s="54"/>
    </row>
    <row r="650" spans="2:13" ht="49.5" customHeight="1" x14ac:dyDescent="0.3">
      <c r="B650" s="97"/>
      <c r="C650" s="54"/>
      <c r="D650" s="55"/>
      <c r="E650" s="55"/>
      <c r="F650" s="55"/>
      <c r="G650" s="56"/>
      <c r="H650" s="133"/>
      <c r="I650" s="134"/>
      <c r="J650" s="134"/>
      <c r="K650" s="55"/>
      <c r="L650" s="55"/>
      <c r="M650" s="54"/>
    </row>
    <row r="651" spans="2:13" ht="49.5" customHeight="1" x14ac:dyDescent="0.3">
      <c r="B651" s="97"/>
      <c r="C651" s="54"/>
      <c r="D651" s="55"/>
      <c r="E651" s="55"/>
      <c r="F651" s="55"/>
      <c r="G651" s="56"/>
      <c r="H651" s="133"/>
      <c r="I651" s="134"/>
      <c r="J651" s="134"/>
      <c r="K651" s="55"/>
      <c r="L651" s="55"/>
      <c r="M651" s="54"/>
    </row>
    <row r="652" spans="2:13" ht="49.5" customHeight="1" x14ac:dyDescent="0.3">
      <c r="B652" s="97"/>
      <c r="C652" s="54"/>
      <c r="D652" s="55"/>
      <c r="E652" s="55"/>
      <c r="F652" s="55"/>
      <c r="G652" s="56"/>
      <c r="H652" s="133"/>
      <c r="I652" s="134"/>
      <c r="J652" s="134"/>
      <c r="K652" s="55"/>
      <c r="L652" s="55"/>
      <c r="M652" s="54"/>
    </row>
    <row r="653" spans="2:13" ht="49.5" customHeight="1" x14ac:dyDescent="0.3">
      <c r="B653" s="97"/>
      <c r="C653" s="54"/>
      <c r="D653" s="55"/>
      <c r="E653" s="55"/>
      <c r="F653" s="55"/>
      <c r="G653" s="56"/>
      <c r="H653" s="133"/>
      <c r="I653" s="134"/>
      <c r="J653" s="134"/>
      <c r="K653" s="55"/>
      <c r="L653" s="55"/>
      <c r="M653" s="54"/>
    </row>
    <row r="654" spans="2:13" ht="49.5" customHeight="1" x14ac:dyDescent="0.3">
      <c r="B654" s="97"/>
      <c r="C654" s="54"/>
      <c r="D654" s="55"/>
      <c r="E654" s="55"/>
      <c r="F654" s="55"/>
      <c r="G654" s="56"/>
      <c r="H654" s="133"/>
      <c r="I654" s="134"/>
      <c r="J654" s="134"/>
      <c r="K654" s="55"/>
      <c r="L654" s="55"/>
      <c r="M654" s="54"/>
    </row>
    <row r="655" spans="2:13" ht="49.5" customHeight="1" x14ac:dyDescent="0.3">
      <c r="B655" s="97"/>
      <c r="C655" s="54"/>
      <c r="D655" s="55"/>
      <c r="E655" s="55"/>
      <c r="F655" s="55"/>
      <c r="G655" s="56"/>
      <c r="H655" s="133"/>
      <c r="I655" s="134"/>
      <c r="J655" s="134"/>
      <c r="K655" s="55"/>
      <c r="L655" s="55"/>
      <c r="M655" s="54"/>
    </row>
    <row r="656" spans="2:13" ht="49.5" customHeight="1" x14ac:dyDescent="0.3">
      <c r="B656" s="97"/>
      <c r="C656" s="54"/>
      <c r="D656" s="55"/>
      <c r="E656" s="55"/>
      <c r="F656" s="55"/>
      <c r="G656" s="56"/>
      <c r="H656" s="133"/>
      <c r="I656" s="134"/>
      <c r="J656" s="134"/>
      <c r="K656" s="55"/>
      <c r="L656" s="55"/>
      <c r="M656" s="54"/>
    </row>
    <row r="657" spans="2:13" ht="49.5" customHeight="1" x14ac:dyDescent="0.3">
      <c r="B657" s="97"/>
      <c r="C657" s="54"/>
      <c r="D657" s="55"/>
      <c r="E657" s="55"/>
      <c r="F657" s="55"/>
      <c r="G657" s="56"/>
      <c r="H657" s="133"/>
      <c r="I657" s="134"/>
      <c r="J657" s="134"/>
      <c r="K657" s="55"/>
      <c r="L657" s="55"/>
      <c r="M657" s="54"/>
    </row>
    <row r="658" spans="2:13" ht="49.5" customHeight="1" x14ac:dyDescent="0.3">
      <c r="B658" s="97"/>
      <c r="C658" s="54"/>
      <c r="D658" s="55"/>
      <c r="E658" s="55"/>
      <c r="F658" s="55"/>
      <c r="G658" s="56"/>
      <c r="H658" s="133"/>
      <c r="I658" s="134"/>
      <c r="J658" s="134"/>
      <c r="K658" s="55"/>
      <c r="L658" s="55"/>
      <c r="M658" s="54"/>
    </row>
    <row r="659" spans="2:13" ht="49.5" customHeight="1" x14ac:dyDescent="0.3">
      <c r="B659" s="97"/>
      <c r="C659" s="54"/>
      <c r="D659" s="55"/>
      <c r="E659" s="55"/>
      <c r="F659" s="55"/>
      <c r="G659" s="56"/>
      <c r="H659" s="133"/>
      <c r="I659" s="134"/>
      <c r="J659" s="134"/>
      <c r="K659" s="55"/>
      <c r="L659" s="55"/>
      <c r="M659" s="54"/>
    </row>
    <row r="660" spans="2:13" ht="49.5" customHeight="1" x14ac:dyDescent="0.3">
      <c r="B660" s="97"/>
      <c r="C660" s="54"/>
      <c r="D660" s="55"/>
      <c r="E660" s="55"/>
      <c r="F660" s="55"/>
      <c r="G660" s="56"/>
      <c r="H660" s="133"/>
      <c r="I660" s="134"/>
      <c r="J660" s="134"/>
      <c r="K660" s="55"/>
      <c r="L660" s="55"/>
      <c r="M660" s="54"/>
    </row>
    <row r="661" spans="2:13" ht="49.5" customHeight="1" x14ac:dyDescent="0.3">
      <c r="B661" s="97"/>
      <c r="C661" s="54"/>
      <c r="D661" s="55"/>
      <c r="E661" s="55"/>
      <c r="F661" s="55"/>
      <c r="G661" s="56"/>
      <c r="H661" s="133"/>
      <c r="I661" s="134"/>
      <c r="J661" s="134"/>
      <c r="K661" s="55"/>
      <c r="L661" s="55"/>
      <c r="M661" s="54"/>
    </row>
    <row r="662" spans="2:13" ht="49.5" customHeight="1" x14ac:dyDescent="0.3">
      <c r="B662" s="97"/>
      <c r="C662" s="54"/>
      <c r="D662" s="55"/>
      <c r="E662" s="55"/>
      <c r="F662" s="55"/>
      <c r="G662" s="56"/>
      <c r="H662" s="133"/>
      <c r="I662" s="134"/>
      <c r="J662" s="134"/>
      <c r="K662" s="55"/>
      <c r="L662" s="55"/>
      <c r="M662" s="54"/>
    </row>
    <row r="663" spans="2:13" ht="49.5" customHeight="1" x14ac:dyDescent="0.3">
      <c r="B663" s="97"/>
      <c r="C663" s="54"/>
      <c r="D663" s="55"/>
      <c r="E663" s="55"/>
      <c r="F663" s="55"/>
      <c r="G663" s="56"/>
      <c r="H663" s="133"/>
      <c r="I663" s="134"/>
      <c r="J663" s="134"/>
      <c r="K663" s="55"/>
      <c r="L663" s="55"/>
      <c r="M663" s="54"/>
    </row>
    <row r="664" spans="2:13" ht="49.5" customHeight="1" x14ac:dyDescent="0.3">
      <c r="B664" s="97"/>
      <c r="C664" s="54"/>
      <c r="D664" s="55"/>
      <c r="E664" s="55"/>
      <c r="F664" s="55"/>
      <c r="G664" s="56"/>
      <c r="H664" s="133"/>
      <c r="I664" s="134"/>
      <c r="J664" s="134"/>
      <c r="K664" s="55"/>
      <c r="L664" s="55"/>
      <c r="M664" s="54"/>
    </row>
    <row r="665" spans="2:13" ht="49.5" customHeight="1" x14ac:dyDescent="0.3">
      <c r="B665" s="97"/>
      <c r="C665" s="54"/>
      <c r="D665" s="55"/>
      <c r="E665" s="55"/>
      <c r="F665" s="55"/>
      <c r="G665" s="56"/>
      <c r="H665" s="133"/>
      <c r="I665" s="134"/>
      <c r="J665" s="134"/>
      <c r="K665" s="55"/>
      <c r="L665" s="55"/>
      <c r="M665" s="54"/>
    </row>
    <row r="666" spans="2:13" ht="49.5" customHeight="1" x14ac:dyDescent="0.3">
      <c r="B666" s="97"/>
      <c r="C666" s="54"/>
      <c r="D666" s="55"/>
      <c r="E666" s="55"/>
      <c r="F666" s="55"/>
      <c r="G666" s="56"/>
      <c r="H666" s="133"/>
      <c r="I666" s="134"/>
      <c r="J666" s="134"/>
      <c r="K666" s="55"/>
      <c r="L666" s="55"/>
      <c r="M666" s="54"/>
    </row>
    <row r="667" spans="2:13" ht="49.5" customHeight="1" x14ac:dyDescent="0.3">
      <c r="B667" s="97"/>
      <c r="C667" s="54"/>
      <c r="D667" s="55"/>
      <c r="E667" s="55"/>
      <c r="F667" s="55"/>
      <c r="G667" s="56"/>
      <c r="H667" s="133"/>
      <c r="I667" s="134"/>
      <c r="J667" s="134"/>
      <c r="K667" s="55"/>
      <c r="L667" s="55"/>
      <c r="M667" s="54"/>
    </row>
    <row r="668" spans="2:13" ht="49.5" customHeight="1" x14ac:dyDescent="0.3">
      <c r="B668" s="97"/>
      <c r="C668" s="54"/>
      <c r="D668" s="55"/>
      <c r="E668" s="55"/>
      <c r="F668" s="55"/>
      <c r="G668" s="56"/>
      <c r="H668" s="133"/>
      <c r="I668" s="134"/>
      <c r="J668" s="134"/>
      <c r="K668" s="55"/>
      <c r="L668" s="55"/>
      <c r="M668" s="54"/>
    </row>
    <row r="669" spans="2:13" ht="49.5" customHeight="1" x14ac:dyDescent="0.3">
      <c r="B669" s="97"/>
      <c r="C669" s="54"/>
      <c r="D669" s="55"/>
      <c r="E669" s="55"/>
      <c r="F669" s="55"/>
      <c r="G669" s="56"/>
      <c r="H669" s="133"/>
      <c r="I669" s="134"/>
      <c r="J669" s="134"/>
      <c r="K669" s="55"/>
      <c r="L669" s="55"/>
      <c r="M669" s="54"/>
    </row>
    <row r="670" spans="2:13" ht="49.5" customHeight="1" x14ac:dyDescent="0.3">
      <c r="B670" s="97"/>
      <c r="C670" s="54"/>
      <c r="D670" s="55"/>
      <c r="E670" s="55"/>
      <c r="F670" s="55"/>
      <c r="G670" s="56"/>
      <c r="H670" s="133"/>
      <c r="I670" s="134"/>
      <c r="J670" s="134"/>
      <c r="K670" s="55"/>
      <c r="L670" s="55"/>
      <c r="M670" s="54"/>
    </row>
    <row r="671" spans="2:13" ht="49.5" customHeight="1" x14ac:dyDescent="0.3">
      <c r="B671" s="97"/>
      <c r="C671" s="54"/>
      <c r="D671" s="55"/>
      <c r="E671" s="55"/>
      <c r="F671" s="55"/>
      <c r="G671" s="56"/>
      <c r="H671" s="133"/>
      <c r="I671" s="134"/>
      <c r="J671" s="134"/>
      <c r="K671" s="55"/>
      <c r="L671" s="55"/>
      <c r="M671" s="54"/>
    </row>
    <row r="672" spans="2:13" ht="49.5" customHeight="1" x14ac:dyDescent="0.3">
      <c r="B672" s="97"/>
      <c r="C672" s="54"/>
      <c r="D672" s="55"/>
      <c r="E672" s="55"/>
      <c r="F672" s="55"/>
      <c r="G672" s="56"/>
      <c r="H672" s="133"/>
      <c r="I672" s="134"/>
      <c r="J672" s="134"/>
      <c r="K672" s="55"/>
      <c r="L672" s="55"/>
      <c r="M672" s="54"/>
    </row>
    <row r="673" spans="2:13" ht="49.5" customHeight="1" x14ac:dyDescent="0.3">
      <c r="B673" s="97"/>
      <c r="C673" s="54"/>
      <c r="D673" s="55"/>
      <c r="E673" s="55"/>
      <c r="F673" s="55"/>
      <c r="G673" s="56"/>
      <c r="H673" s="133"/>
      <c r="I673" s="134"/>
      <c r="J673" s="134"/>
      <c r="K673" s="55"/>
      <c r="L673" s="55"/>
      <c r="M673" s="54"/>
    </row>
    <row r="674" spans="2:13" ht="49.5" customHeight="1" x14ac:dyDescent="0.3">
      <c r="B674" s="97"/>
      <c r="C674" s="54"/>
      <c r="D674" s="55"/>
      <c r="E674" s="55"/>
      <c r="F674" s="55"/>
      <c r="G674" s="56"/>
      <c r="H674" s="133"/>
      <c r="I674" s="134"/>
      <c r="J674" s="134"/>
      <c r="K674" s="55"/>
      <c r="L674" s="55"/>
      <c r="M674" s="54"/>
    </row>
    <row r="675" spans="2:13" ht="49.5" customHeight="1" x14ac:dyDescent="0.3">
      <c r="B675" s="97"/>
      <c r="C675" s="54"/>
      <c r="D675" s="55"/>
      <c r="E675" s="55"/>
      <c r="F675" s="55"/>
      <c r="G675" s="56"/>
      <c r="H675" s="133"/>
      <c r="I675" s="134"/>
      <c r="J675" s="134"/>
      <c r="K675" s="55"/>
      <c r="L675" s="55"/>
      <c r="M675" s="54"/>
    </row>
    <row r="676" spans="2:13" ht="49.5" customHeight="1" x14ac:dyDescent="0.3">
      <c r="B676" s="97"/>
      <c r="C676" s="54"/>
      <c r="D676" s="55"/>
      <c r="E676" s="55"/>
      <c r="F676" s="55"/>
      <c r="G676" s="56"/>
      <c r="H676" s="133"/>
      <c r="I676" s="134"/>
      <c r="J676" s="134"/>
      <c r="K676" s="55"/>
      <c r="L676" s="55"/>
      <c r="M676" s="54"/>
    </row>
    <row r="677" spans="2:13" ht="49.5" customHeight="1" x14ac:dyDescent="0.3">
      <c r="B677" s="97"/>
      <c r="C677" s="54"/>
      <c r="D677" s="55"/>
      <c r="E677" s="55"/>
      <c r="F677" s="55"/>
      <c r="G677" s="56"/>
      <c r="H677" s="133"/>
      <c r="I677" s="134"/>
      <c r="J677" s="134"/>
      <c r="K677" s="55"/>
      <c r="L677" s="55"/>
      <c r="M677" s="54"/>
    </row>
    <row r="678" spans="2:13" ht="49.5" customHeight="1" x14ac:dyDescent="0.3">
      <c r="B678" s="97"/>
      <c r="C678" s="54"/>
      <c r="D678" s="55"/>
      <c r="E678" s="55"/>
      <c r="F678" s="55"/>
      <c r="G678" s="56"/>
      <c r="H678" s="133"/>
      <c r="I678" s="134"/>
      <c r="J678" s="134"/>
      <c r="K678" s="55"/>
      <c r="L678" s="55"/>
      <c r="M678" s="54"/>
    </row>
    <row r="679" spans="2:13" ht="49.5" customHeight="1" x14ac:dyDescent="0.3">
      <c r="B679" s="97"/>
      <c r="C679" s="54"/>
      <c r="D679" s="55"/>
      <c r="E679" s="55"/>
      <c r="F679" s="55"/>
      <c r="G679" s="56"/>
      <c r="H679" s="133"/>
      <c r="I679" s="134"/>
      <c r="J679" s="134"/>
      <c r="K679" s="55"/>
      <c r="L679" s="55"/>
      <c r="M679" s="54"/>
    </row>
    <row r="680" spans="2:13" ht="49.5" customHeight="1" x14ac:dyDescent="0.3">
      <c r="B680" s="97"/>
      <c r="C680" s="54"/>
      <c r="D680" s="55"/>
      <c r="E680" s="55"/>
      <c r="F680" s="55"/>
      <c r="G680" s="56"/>
      <c r="H680" s="133"/>
      <c r="I680" s="134"/>
      <c r="J680" s="134"/>
      <c r="K680" s="55"/>
      <c r="L680" s="55"/>
      <c r="M680" s="54"/>
    </row>
    <row r="681" spans="2:13" ht="49.5" customHeight="1" x14ac:dyDescent="0.3">
      <c r="B681" s="97"/>
      <c r="C681" s="54"/>
      <c r="D681" s="55"/>
      <c r="E681" s="55"/>
      <c r="F681" s="55"/>
      <c r="G681" s="56"/>
      <c r="H681" s="133"/>
      <c r="I681" s="134"/>
      <c r="J681" s="134"/>
      <c r="K681" s="55"/>
      <c r="L681" s="55"/>
      <c r="M681" s="54"/>
    </row>
    <row r="682" spans="2:13" ht="49.5" customHeight="1" x14ac:dyDescent="0.3">
      <c r="B682" s="97"/>
      <c r="C682" s="54"/>
      <c r="D682" s="55"/>
      <c r="E682" s="55"/>
      <c r="F682" s="55"/>
      <c r="G682" s="56"/>
      <c r="H682" s="133"/>
      <c r="I682" s="134"/>
      <c r="J682" s="134"/>
      <c r="K682" s="55"/>
      <c r="L682" s="55"/>
      <c r="M682" s="54"/>
    </row>
    <row r="683" spans="2:13" ht="49.5" customHeight="1" x14ac:dyDescent="0.3">
      <c r="B683" s="97"/>
      <c r="C683" s="54"/>
      <c r="D683" s="55"/>
      <c r="E683" s="55"/>
      <c r="F683" s="55"/>
      <c r="G683" s="56"/>
      <c r="H683" s="133"/>
      <c r="I683" s="134"/>
      <c r="J683" s="134"/>
      <c r="K683" s="55"/>
      <c r="L683" s="55"/>
      <c r="M683" s="54"/>
    </row>
    <row r="684" spans="2:13" ht="49.5" customHeight="1" x14ac:dyDescent="0.3">
      <c r="B684" s="97"/>
      <c r="C684" s="54"/>
      <c r="D684" s="55"/>
      <c r="E684" s="55"/>
      <c r="F684" s="55"/>
      <c r="G684" s="56"/>
      <c r="H684" s="133"/>
      <c r="I684" s="134"/>
      <c r="J684" s="134"/>
      <c r="K684" s="55"/>
      <c r="L684" s="55"/>
      <c r="M684" s="54"/>
    </row>
    <row r="685" spans="2:13" ht="49.5" customHeight="1" x14ac:dyDescent="0.3">
      <c r="B685" s="97"/>
      <c r="C685" s="54"/>
      <c r="D685" s="55"/>
      <c r="E685" s="55"/>
      <c r="F685" s="55"/>
      <c r="G685" s="56"/>
      <c r="H685" s="133"/>
      <c r="I685" s="134"/>
      <c r="J685" s="134"/>
      <c r="K685" s="55"/>
      <c r="L685" s="55"/>
      <c r="M685" s="54"/>
    </row>
    <row r="686" spans="2:13" ht="49.5" customHeight="1" x14ac:dyDescent="0.3">
      <c r="B686" s="97"/>
      <c r="C686" s="54"/>
      <c r="D686" s="55"/>
      <c r="E686" s="55"/>
      <c r="F686" s="55"/>
      <c r="G686" s="56"/>
      <c r="H686" s="133"/>
      <c r="I686" s="134"/>
      <c r="J686" s="134"/>
      <c r="K686" s="55"/>
      <c r="L686" s="55"/>
      <c r="M686" s="54"/>
    </row>
    <row r="687" spans="2:13" ht="49.5" customHeight="1" x14ac:dyDescent="0.3">
      <c r="B687" s="97"/>
      <c r="C687" s="54"/>
      <c r="D687" s="55"/>
      <c r="E687" s="55"/>
      <c r="F687" s="55"/>
      <c r="G687" s="56"/>
      <c r="H687" s="133"/>
      <c r="I687" s="134"/>
      <c r="J687" s="134"/>
      <c r="K687" s="55"/>
      <c r="L687" s="55"/>
      <c r="M687" s="54"/>
    </row>
    <row r="688" spans="2:13" ht="49.5" customHeight="1" x14ac:dyDescent="0.3">
      <c r="B688" s="97"/>
      <c r="C688" s="54"/>
      <c r="D688" s="55"/>
      <c r="E688" s="55"/>
      <c r="F688" s="55"/>
      <c r="G688" s="56"/>
      <c r="H688" s="133"/>
      <c r="I688" s="134"/>
      <c r="J688" s="134"/>
      <c r="K688" s="55"/>
      <c r="L688" s="55"/>
      <c r="M688" s="54"/>
    </row>
    <row r="689" spans="2:13" ht="49.5" customHeight="1" x14ac:dyDescent="0.3">
      <c r="B689" s="97"/>
      <c r="C689" s="54"/>
      <c r="D689" s="55"/>
      <c r="E689" s="55"/>
      <c r="F689" s="55"/>
      <c r="G689" s="56"/>
      <c r="H689" s="133"/>
      <c r="I689" s="134"/>
      <c r="J689" s="134"/>
      <c r="K689" s="55"/>
      <c r="L689" s="55"/>
      <c r="M689" s="54"/>
    </row>
    <row r="690" spans="2:13" ht="49.5" customHeight="1" x14ac:dyDescent="0.3">
      <c r="B690" s="97"/>
      <c r="C690" s="54"/>
      <c r="D690" s="55"/>
      <c r="E690" s="55"/>
      <c r="F690" s="55"/>
      <c r="G690" s="56"/>
      <c r="H690" s="133"/>
      <c r="I690" s="134"/>
      <c r="J690" s="134"/>
      <c r="K690" s="55"/>
      <c r="L690" s="55"/>
      <c r="M690" s="54"/>
    </row>
    <row r="691" spans="2:13" ht="49.5" customHeight="1" x14ac:dyDescent="0.3">
      <c r="B691" s="97"/>
      <c r="C691" s="54"/>
      <c r="D691" s="55"/>
      <c r="E691" s="55"/>
      <c r="F691" s="55"/>
      <c r="G691" s="56"/>
      <c r="H691" s="133"/>
      <c r="I691" s="134"/>
      <c r="J691" s="134"/>
      <c r="K691" s="55"/>
      <c r="L691" s="55"/>
      <c r="M691" s="54"/>
    </row>
    <row r="692" spans="2:13" ht="49.5" customHeight="1" x14ac:dyDescent="0.3">
      <c r="B692" s="97"/>
      <c r="C692" s="54"/>
      <c r="D692" s="55"/>
      <c r="E692" s="55"/>
      <c r="F692" s="55"/>
      <c r="G692" s="56"/>
      <c r="H692" s="133"/>
      <c r="I692" s="134"/>
      <c r="J692" s="134"/>
      <c r="K692" s="55"/>
      <c r="L692" s="55"/>
      <c r="M692" s="54"/>
    </row>
    <row r="693" spans="2:13" ht="49.5" customHeight="1" x14ac:dyDescent="0.3">
      <c r="B693" s="97"/>
      <c r="C693" s="54"/>
      <c r="D693" s="55"/>
      <c r="E693" s="55"/>
      <c r="F693" s="55"/>
      <c r="G693" s="56"/>
      <c r="H693" s="133"/>
      <c r="I693" s="134"/>
      <c r="J693" s="134"/>
      <c r="K693" s="55"/>
      <c r="L693" s="55"/>
      <c r="M693" s="54"/>
    </row>
    <row r="694" spans="2:13" ht="49.5" customHeight="1" x14ac:dyDescent="0.3">
      <c r="B694" s="97"/>
      <c r="C694" s="54"/>
      <c r="D694" s="55"/>
      <c r="E694" s="55"/>
      <c r="F694" s="55"/>
      <c r="G694" s="56"/>
      <c r="H694" s="133"/>
      <c r="I694" s="134"/>
      <c r="J694" s="134"/>
      <c r="K694" s="55"/>
      <c r="L694" s="55"/>
      <c r="M694" s="54"/>
    </row>
    <row r="695" spans="2:13" ht="49.5" customHeight="1" x14ac:dyDescent="0.3">
      <c r="B695" s="97"/>
      <c r="C695" s="54"/>
      <c r="D695" s="55"/>
      <c r="E695" s="55"/>
      <c r="F695" s="55"/>
      <c r="G695" s="56"/>
      <c r="H695" s="133"/>
      <c r="I695" s="134"/>
      <c r="J695" s="134"/>
      <c r="K695" s="55"/>
      <c r="L695" s="55"/>
      <c r="M695" s="54"/>
    </row>
    <row r="696" spans="2:13" ht="49.5" customHeight="1" x14ac:dyDescent="0.3">
      <c r="B696" s="97"/>
      <c r="C696" s="54"/>
      <c r="D696" s="55"/>
      <c r="E696" s="55"/>
      <c r="F696" s="55"/>
      <c r="G696" s="56"/>
      <c r="H696" s="133"/>
      <c r="I696" s="134"/>
      <c r="J696" s="134"/>
      <c r="K696" s="55"/>
      <c r="L696" s="55"/>
      <c r="M696" s="54"/>
    </row>
    <row r="697" spans="2:13" ht="49.5" customHeight="1" x14ac:dyDescent="0.3">
      <c r="B697" s="97"/>
      <c r="C697" s="54"/>
      <c r="D697" s="55"/>
      <c r="E697" s="55"/>
      <c r="F697" s="55"/>
      <c r="G697" s="56"/>
      <c r="H697" s="133"/>
      <c r="I697" s="134"/>
      <c r="J697" s="134"/>
      <c r="K697" s="55"/>
      <c r="L697" s="55"/>
      <c r="M697" s="54"/>
    </row>
    <row r="698" spans="2:13" ht="49.5" customHeight="1" x14ac:dyDescent="0.3">
      <c r="B698" s="97"/>
      <c r="C698" s="54"/>
      <c r="D698" s="55"/>
      <c r="E698" s="55"/>
      <c r="F698" s="55"/>
      <c r="G698" s="56"/>
      <c r="H698" s="133"/>
      <c r="I698" s="134"/>
      <c r="J698" s="134"/>
      <c r="K698" s="55"/>
      <c r="L698" s="55"/>
      <c r="M698" s="54"/>
    </row>
    <row r="699" spans="2:13" ht="49.5" customHeight="1" x14ac:dyDescent="0.3">
      <c r="B699" s="97"/>
      <c r="C699" s="54"/>
      <c r="D699" s="55"/>
      <c r="E699" s="55"/>
      <c r="F699" s="55"/>
      <c r="G699" s="56"/>
      <c r="H699" s="133"/>
      <c r="I699" s="134"/>
      <c r="J699" s="134"/>
      <c r="K699" s="55"/>
      <c r="L699" s="55"/>
      <c r="M699" s="54"/>
    </row>
    <row r="700" spans="2:13" ht="49.5" customHeight="1" x14ac:dyDescent="0.3">
      <c r="B700" s="97"/>
      <c r="C700" s="54"/>
      <c r="D700" s="55"/>
      <c r="E700" s="55"/>
      <c r="F700" s="55"/>
      <c r="G700" s="56"/>
      <c r="H700" s="133"/>
      <c r="I700" s="134"/>
      <c r="J700" s="134"/>
      <c r="K700" s="55"/>
      <c r="L700" s="55"/>
      <c r="M700" s="54"/>
    </row>
    <row r="701" spans="2:13" ht="49.5" customHeight="1" x14ac:dyDescent="0.3">
      <c r="B701" s="97"/>
      <c r="C701" s="54"/>
      <c r="D701" s="55"/>
      <c r="E701" s="55"/>
      <c r="F701" s="55"/>
      <c r="G701" s="56"/>
      <c r="H701" s="133"/>
      <c r="I701" s="134"/>
      <c r="J701" s="134"/>
      <c r="K701" s="55"/>
      <c r="L701" s="55"/>
      <c r="M701" s="54"/>
    </row>
    <row r="702" spans="2:13" ht="49.5" customHeight="1" x14ac:dyDescent="0.3">
      <c r="B702" s="97"/>
      <c r="C702" s="54"/>
      <c r="D702" s="55"/>
      <c r="E702" s="55"/>
      <c r="F702" s="55"/>
      <c r="G702" s="56"/>
      <c r="H702" s="133"/>
      <c r="I702" s="134"/>
      <c r="J702" s="134"/>
      <c r="K702" s="55"/>
      <c r="L702" s="55"/>
      <c r="M702" s="54"/>
    </row>
    <row r="703" spans="2:13" ht="49.5" customHeight="1" x14ac:dyDescent="0.3">
      <c r="B703" s="97"/>
      <c r="C703" s="54"/>
      <c r="D703" s="55"/>
      <c r="E703" s="55"/>
      <c r="F703" s="55"/>
      <c r="G703" s="56"/>
      <c r="H703" s="133"/>
      <c r="I703" s="134"/>
      <c r="J703" s="134"/>
      <c r="K703" s="55"/>
      <c r="L703" s="55"/>
      <c r="M703" s="54"/>
    </row>
    <row r="704" spans="2:13" ht="49.5" customHeight="1" x14ac:dyDescent="0.3">
      <c r="B704" s="97"/>
      <c r="C704" s="54"/>
      <c r="D704" s="55"/>
      <c r="E704" s="55"/>
      <c r="F704" s="55"/>
      <c r="G704" s="56"/>
      <c r="H704" s="133"/>
      <c r="I704" s="134"/>
      <c r="J704" s="134"/>
      <c r="K704" s="55"/>
      <c r="L704" s="55"/>
      <c r="M704" s="54"/>
    </row>
    <row r="705" spans="2:13" ht="49.5" customHeight="1" x14ac:dyDescent="0.3">
      <c r="B705" s="97"/>
      <c r="C705" s="54"/>
      <c r="D705" s="55"/>
      <c r="E705" s="55"/>
      <c r="F705" s="55"/>
      <c r="G705" s="56"/>
      <c r="H705" s="133"/>
      <c r="I705" s="134"/>
      <c r="J705" s="134"/>
      <c r="K705" s="55"/>
      <c r="L705" s="55"/>
      <c r="M705" s="54"/>
    </row>
    <row r="706" spans="2:13" ht="49.5" customHeight="1" x14ac:dyDescent="0.3">
      <c r="B706" s="97"/>
      <c r="C706" s="54"/>
      <c r="D706" s="55"/>
      <c r="E706" s="55"/>
      <c r="F706" s="55"/>
      <c r="G706" s="56"/>
      <c r="H706" s="133"/>
      <c r="I706" s="134"/>
      <c r="J706" s="134"/>
      <c r="K706" s="55"/>
      <c r="L706" s="55"/>
      <c r="M706" s="54"/>
    </row>
    <row r="707" spans="2:13" ht="49.5" customHeight="1" x14ac:dyDescent="0.3">
      <c r="B707" s="97"/>
      <c r="C707" s="54"/>
      <c r="D707" s="55"/>
      <c r="E707" s="55"/>
      <c r="F707" s="55"/>
      <c r="G707" s="56"/>
      <c r="H707" s="133"/>
      <c r="I707" s="134"/>
      <c r="J707" s="134"/>
      <c r="K707" s="55"/>
      <c r="L707" s="55"/>
      <c r="M707" s="54"/>
    </row>
    <row r="708" spans="2:13" ht="49.5" customHeight="1" x14ac:dyDescent="0.3">
      <c r="B708" s="97"/>
      <c r="C708" s="54"/>
      <c r="D708" s="55"/>
      <c r="E708" s="55"/>
      <c r="F708" s="55"/>
      <c r="G708" s="56"/>
      <c r="H708" s="133"/>
      <c r="I708" s="134"/>
      <c r="J708" s="134"/>
      <c r="K708" s="55"/>
      <c r="L708" s="55"/>
      <c r="M708" s="54"/>
    </row>
    <row r="709" spans="2:13" ht="49.5" customHeight="1" x14ac:dyDescent="0.3">
      <c r="B709" s="97"/>
      <c r="C709" s="54"/>
      <c r="D709" s="55"/>
      <c r="E709" s="55"/>
      <c r="F709" s="55"/>
      <c r="G709" s="56"/>
      <c r="H709" s="133"/>
      <c r="I709" s="134"/>
      <c r="J709" s="134"/>
      <c r="K709" s="55"/>
      <c r="L709" s="55"/>
      <c r="M709" s="54"/>
    </row>
    <row r="710" spans="2:13" ht="49.5" customHeight="1" x14ac:dyDescent="0.3">
      <c r="B710" s="97"/>
      <c r="C710" s="54"/>
      <c r="D710" s="55"/>
      <c r="E710" s="55"/>
      <c r="F710" s="55"/>
      <c r="G710" s="56"/>
      <c r="H710" s="133"/>
      <c r="I710" s="134"/>
      <c r="J710" s="134"/>
      <c r="K710" s="55"/>
      <c r="L710" s="55"/>
      <c r="M710" s="54"/>
    </row>
    <row r="711" spans="2:13" ht="49.5" customHeight="1" x14ac:dyDescent="0.3">
      <c r="B711" s="97"/>
      <c r="C711" s="54"/>
      <c r="D711" s="55"/>
      <c r="E711" s="55"/>
      <c r="F711" s="55"/>
      <c r="G711" s="56"/>
      <c r="H711" s="133"/>
      <c r="I711" s="134"/>
      <c r="J711" s="134"/>
      <c r="K711" s="55"/>
      <c r="L711" s="55"/>
      <c r="M711" s="54"/>
    </row>
    <row r="712" spans="2:13" ht="49.5" customHeight="1" x14ac:dyDescent="0.3">
      <c r="B712" s="97"/>
      <c r="C712" s="54"/>
      <c r="D712" s="55"/>
      <c r="E712" s="55"/>
      <c r="F712" s="55"/>
      <c r="G712" s="56"/>
      <c r="H712" s="133"/>
      <c r="I712" s="134"/>
      <c r="J712" s="134"/>
      <c r="K712" s="55"/>
      <c r="L712" s="55"/>
      <c r="M712" s="54"/>
    </row>
    <row r="713" spans="2:13" ht="49.5" customHeight="1" x14ac:dyDescent="0.3">
      <c r="B713" s="97"/>
      <c r="C713" s="54"/>
      <c r="D713" s="55"/>
      <c r="E713" s="55"/>
      <c r="F713" s="55"/>
      <c r="G713" s="56"/>
      <c r="H713" s="133"/>
      <c r="I713" s="134"/>
      <c r="J713" s="134"/>
      <c r="K713" s="55"/>
      <c r="L713" s="55"/>
      <c r="M713" s="54"/>
    </row>
    <row r="714" spans="2:13" ht="49.5" customHeight="1" x14ac:dyDescent="0.3">
      <c r="B714" s="97"/>
      <c r="C714" s="54"/>
      <c r="D714" s="55"/>
      <c r="E714" s="55"/>
      <c r="F714" s="55"/>
      <c r="G714" s="56"/>
      <c r="H714" s="133"/>
      <c r="I714" s="134"/>
      <c r="J714" s="134"/>
      <c r="K714" s="55"/>
      <c r="L714" s="55"/>
      <c r="M714" s="54"/>
    </row>
    <row r="715" spans="2:13" ht="49.5" customHeight="1" x14ac:dyDescent="0.3">
      <c r="B715" s="97"/>
      <c r="C715" s="54"/>
      <c r="D715" s="55"/>
      <c r="E715" s="55"/>
      <c r="F715" s="55"/>
      <c r="G715" s="56"/>
      <c r="H715" s="133"/>
      <c r="I715" s="134"/>
      <c r="J715" s="134"/>
      <c r="K715" s="55"/>
      <c r="L715" s="55"/>
      <c r="M715" s="54"/>
    </row>
    <row r="716" spans="2:13" ht="49.5" customHeight="1" x14ac:dyDescent="0.3">
      <c r="B716" s="97"/>
      <c r="C716" s="54"/>
      <c r="D716" s="55"/>
      <c r="E716" s="55"/>
      <c r="F716" s="55"/>
      <c r="G716" s="56"/>
      <c r="H716" s="133"/>
      <c r="I716" s="134"/>
      <c r="J716" s="134"/>
      <c r="K716" s="55"/>
      <c r="L716" s="55"/>
      <c r="M716" s="54"/>
    </row>
    <row r="717" spans="2:13" ht="49.5" customHeight="1" x14ac:dyDescent="0.3">
      <c r="B717" s="97"/>
      <c r="C717" s="54"/>
      <c r="D717" s="55"/>
      <c r="E717" s="55"/>
      <c r="F717" s="55"/>
      <c r="G717" s="56"/>
      <c r="H717" s="133"/>
      <c r="I717" s="134"/>
      <c r="J717" s="134"/>
      <c r="K717" s="55"/>
      <c r="L717" s="55"/>
      <c r="M717" s="54"/>
    </row>
    <row r="718" spans="2:13" ht="49.5" customHeight="1" x14ac:dyDescent="0.3">
      <c r="B718" s="97"/>
      <c r="C718" s="54"/>
      <c r="D718" s="55"/>
      <c r="E718" s="55"/>
      <c r="F718" s="55"/>
      <c r="G718" s="56"/>
      <c r="H718" s="133"/>
      <c r="I718" s="134"/>
      <c r="J718" s="134"/>
      <c r="K718" s="55"/>
      <c r="L718" s="55"/>
      <c r="M718" s="54"/>
    </row>
    <row r="719" spans="2:13" ht="49.5" customHeight="1" x14ac:dyDescent="0.3">
      <c r="B719" s="97"/>
      <c r="C719" s="54"/>
      <c r="D719" s="55"/>
      <c r="E719" s="55"/>
      <c r="F719" s="55"/>
      <c r="G719" s="56"/>
      <c r="H719" s="133"/>
      <c r="I719" s="134"/>
      <c r="J719" s="134"/>
      <c r="K719" s="55"/>
      <c r="L719" s="55"/>
      <c r="M719" s="54"/>
    </row>
    <row r="720" spans="2:13" ht="49.5" customHeight="1" x14ac:dyDescent="0.3">
      <c r="B720" s="97"/>
      <c r="C720" s="54"/>
      <c r="D720" s="55"/>
      <c r="E720" s="55"/>
      <c r="F720" s="55"/>
      <c r="G720" s="56"/>
      <c r="H720" s="133"/>
      <c r="I720" s="134"/>
      <c r="J720" s="134"/>
      <c r="K720" s="55"/>
      <c r="L720" s="55"/>
      <c r="M720" s="54"/>
    </row>
    <row r="721" spans="2:13" ht="49.5" customHeight="1" x14ac:dyDescent="0.3">
      <c r="B721" s="97"/>
      <c r="C721" s="54"/>
      <c r="D721" s="55"/>
      <c r="E721" s="55"/>
      <c r="F721" s="55"/>
      <c r="G721" s="56"/>
      <c r="H721" s="133"/>
      <c r="I721" s="134"/>
      <c r="J721" s="134"/>
      <c r="K721" s="55"/>
      <c r="L721" s="55"/>
      <c r="M721" s="54"/>
    </row>
    <row r="722" spans="2:13" ht="49.5" customHeight="1" x14ac:dyDescent="0.3">
      <c r="B722" s="97"/>
      <c r="C722" s="54"/>
      <c r="D722" s="55"/>
      <c r="E722" s="55"/>
      <c r="F722" s="55"/>
      <c r="G722" s="56"/>
      <c r="H722" s="133"/>
      <c r="I722" s="134"/>
      <c r="J722" s="134"/>
      <c r="K722" s="55"/>
      <c r="L722" s="55"/>
      <c r="M722" s="54"/>
    </row>
    <row r="723" spans="2:13" ht="49.5" customHeight="1" x14ac:dyDescent="0.3">
      <c r="B723" s="97"/>
      <c r="C723" s="54"/>
      <c r="D723" s="55"/>
      <c r="E723" s="55"/>
      <c r="F723" s="55"/>
      <c r="G723" s="56"/>
      <c r="H723" s="133"/>
      <c r="I723" s="134"/>
      <c r="J723" s="134"/>
      <c r="K723" s="55"/>
      <c r="L723" s="55"/>
      <c r="M723" s="54"/>
    </row>
    <row r="724" spans="2:13" ht="49.5" customHeight="1" x14ac:dyDescent="0.3">
      <c r="B724" s="97"/>
      <c r="C724" s="54"/>
      <c r="D724" s="55"/>
      <c r="E724" s="55"/>
      <c r="F724" s="55"/>
      <c r="G724" s="56"/>
      <c r="H724" s="133"/>
      <c r="I724" s="134"/>
      <c r="J724" s="134"/>
      <c r="K724" s="55"/>
      <c r="L724" s="55"/>
      <c r="M724" s="54"/>
    </row>
    <row r="725" spans="2:13" ht="49.5" customHeight="1" x14ac:dyDescent="0.3">
      <c r="B725" s="97"/>
      <c r="C725" s="54"/>
      <c r="D725" s="55"/>
      <c r="E725" s="55"/>
      <c r="F725" s="55"/>
      <c r="G725" s="56"/>
      <c r="H725" s="133"/>
      <c r="I725" s="134"/>
      <c r="J725" s="134"/>
      <c r="K725" s="55"/>
      <c r="L725" s="55"/>
      <c r="M725" s="54"/>
    </row>
    <row r="726" spans="2:13" ht="49.5" customHeight="1" x14ac:dyDescent="0.3">
      <c r="B726" s="97"/>
      <c r="C726" s="54"/>
      <c r="D726" s="55"/>
      <c r="E726" s="55"/>
      <c r="F726" s="55"/>
      <c r="G726" s="56"/>
      <c r="H726" s="133"/>
      <c r="I726" s="134"/>
      <c r="J726" s="134"/>
      <c r="K726" s="55"/>
      <c r="L726" s="55"/>
      <c r="M726" s="54"/>
    </row>
    <row r="727" spans="2:13" ht="49.5" customHeight="1" x14ac:dyDescent="0.3">
      <c r="B727" s="97"/>
      <c r="C727" s="54"/>
      <c r="D727" s="55"/>
      <c r="E727" s="55"/>
      <c r="F727" s="55"/>
      <c r="G727" s="56"/>
      <c r="H727" s="133"/>
      <c r="I727" s="134"/>
      <c r="J727" s="134"/>
      <c r="K727" s="55"/>
      <c r="L727" s="55"/>
      <c r="M727" s="54"/>
    </row>
    <row r="728" spans="2:13" ht="49.5" customHeight="1" x14ac:dyDescent="0.3">
      <c r="B728" s="97"/>
      <c r="C728" s="54"/>
      <c r="D728" s="55"/>
      <c r="E728" s="55"/>
      <c r="F728" s="55"/>
      <c r="G728" s="56"/>
      <c r="H728" s="133"/>
      <c r="I728" s="134"/>
      <c r="J728" s="134"/>
      <c r="K728" s="55"/>
      <c r="L728" s="55"/>
      <c r="M728" s="54"/>
    </row>
    <row r="729" spans="2:13" ht="49.5" customHeight="1" x14ac:dyDescent="0.3">
      <c r="B729" s="97"/>
      <c r="C729" s="54"/>
      <c r="D729" s="55"/>
      <c r="E729" s="55"/>
      <c r="F729" s="55"/>
      <c r="G729" s="56"/>
      <c r="H729" s="133"/>
      <c r="I729" s="134"/>
      <c r="J729" s="134"/>
      <c r="K729" s="55"/>
      <c r="L729" s="55"/>
      <c r="M729" s="54"/>
    </row>
    <row r="730" spans="2:13" ht="49.5" customHeight="1" x14ac:dyDescent="0.3">
      <c r="B730" s="97"/>
      <c r="C730" s="54"/>
      <c r="D730" s="55"/>
      <c r="E730" s="55"/>
      <c r="F730" s="55"/>
      <c r="G730" s="56"/>
      <c r="H730" s="133"/>
      <c r="I730" s="134"/>
      <c r="J730" s="134"/>
      <c r="K730" s="55"/>
      <c r="L730" s="55"/>
      <c r="M730" s="54"/>
    </row>
    <row r="731" spans="2:13" ht="49.5" customHeight="1" x14ac:dyDescent="0.3">
      <c r="B731" s="97"/>
      <c r="C731" s="54"/>
      <c r="D731" s="55"/>
      <c r="E731" s="55"/>
      <c r="F731" s="55"/>
      <c r="G731" s="56"/>
      <c r="H731" s="133"/>
      <c r="I731" s="134"/>
      <c r="J731" s="134"/>
      <c r="K731" s="55"/>
      <c r="L731" s="55"/>
      <c r="M731" s="54"/>
    </row>
    <row r="732" spans="2:13" ht="49.5" customHeight="1" x14ac:dyDescent="0.3">
      <c r="B732" s="97"/>
      <c r="C732" s="54"/>
      <c r="D732" s="55"/>
      <c r="E732" s="55"/>
      <c r="F732" s="55"/>
      <c r="G732" s="56"/>
      <c r="H732" s="133"/>
      <c r="I732" s="134"/>
      <c r="J732" s="134"/>
      <c r="K732" s="55"/>
      <c r="L732" s="55"/>
      <c r="M732" s="54"/>
    </row>
    <row r="733" spans="2:13" ht="49.5" customHeight="1" x14ac:dyDescent="0.3">
      <c r="B733" s="97"/>
      <c r="C733" s="54"/>
      <c r="D733" s="55"/>
      <c r="E733" s="55"/>
      <c r="F733" s="55"/>
      <c r="G733" s="56"/>
      <c r="H733" s="133"/>
      <c r="I733" s="134"/>
      <c r="J733" s="134"/>
      <c r="K733" s="55"/>
      <c r="L733" s="55"/>
      <c r="M733" s="54"/>
    </row>
    <row r="734" spans="2:13" ht="49.5" customHeight="1" x14ac:dyDescent="0.3">
      <c r="B734" s="97"/>
      <c r="C734" s="54"/>
      <c r="D734" s="55"/>
      <c r="E734" s="55"/>
      <c r="F734" s="55"/>
      <c r="G734" s="56"/>
      <c r="H734" s="133"/>
      <c r="I734" s="134"/>
      <c r="J734" s="134"/>
      <c r="K734" s="55"/>
      <c r="L734" s="55"/>
      <c r="M734" s="54"/>
    </row>
    <row r="735" spans="2:13" ht="49.5" customHeight="1" x14ac:dyDescent="0.3">
      <c r="B735" s="97"/>
      <c r="C735" s="54"/>
      <c r="D735" s="55"/>
      <c r="E735" s="55"/>
      <c r="F735" s="55"/>
      <c r="G735" s="56"/>
      <c r="H735" s="133"/>
      <c r="I735" s="134"/>
      <c r="J735" s="134"/>
      <c r="K735" s="55"/>
      <c r="L735" s="55"/>
      <c r="M735" s="54"/>
    </row>
    <row r="736" spans="2:13" ht="49.5" customHeight="1" x14ac:dyDescent="0.3">
      <c r="B736" s="97"/>
      <c r="C736" s="54"/>
      <c r="D736" s="55"/>
      <c r="E736" s="55"/>
      <c r="F736" s="55"/>
      <c r="G736" s="56"/>
      <c r="H736" s="133"/>
      <c r="I736" s="134"/>
      <c r="J736" s="134"/>
      <c r="K736" s="55"/>
      <c r="L736" s="55"/>
      <c r="M736" s="54"/>
    </row>
    <row r="737" spans="2:13" ht="49.5" customHeight="1" x14ac:dyDescent="0.3">
      <c r="B737" s="97"/>
      <c r="C737" s="54"/>
      <c r="D737" s="55"/>
      <c r="E737" s="55"/>
      <c r="F737" s="55"/>
      <c r="G737" s="56"/>
      <c r="H737" s="133"/>
      <c r="I737" s="134"/>
      <c r="J737" s="134"/>
      <c r="K737" s="55"/>
      <c r="L737" s="55"/>
      <c r="M737" s="54"/>
    </row>
    <row r="738" spans="2:13" ht="49.5" customHeight="1" x14ac:dyDescent="0.3">
      <c r="B738" s="97"/>
      <c r="C738" s="54"/>
      <c r="D738" s="55"/>
      <c r="E738" s="55"/>
      <c r="F738" s="55"/>
      <c r="G738" s="56"/>
      <c r="H738" s="133"/>
      <c r="I738" s="134"/>
      <c r="J738" s="134"/>
      <c r="K738" s="55"/>
      <c r="L738" s="55"/>
      <c r="M738" s="54"/>
    </row>
    <row r="739" spans="2:13" ht="49.5" customHeight="1" x14ac:dyDescent="0.3">
      <c r="B739" s="97"/>
      <c r="C739" s="54"/>
      <c r="D739" s="55"/>
      <c r="E739" s="55"/>
      <c r="F739" s="55"/>
      <c r="G739" s="56"/>
      <c r="H739" s="133"/>
      <c r="I739" s="134"/>
      <c r="J739" s="134"/>
      <c r="K739" s="55"/>
      <c r="L739" s="55"/>
      <c r="M739" s="54"/>
    </row>
    <row r="740" spans="2:13" ht="49.5" customHeight="1" x14ac:dyDescent="0.3">
      <c r="B740" s="97"/>
      <c r="C740" s="54"/>
      <c r="D740" s="55"/>
      <c r="E740" s="55"/>
      <c r="F740" s="55"/>
      <c r="G740" s="56"/>
      <c r="H740" s="133"/>
      <c r="I740" s="134"/>
      <c r="J740" s="134"/>
      <c r="K740" s="55"/>
      <c r="L740" s="55"/>
      <c r="M740" s="54"/>
    </row>
    <row r="741" spans="2:13" ht="49.5" customHeight="1" x14ac:dyDescent="0.3">
      <c r="B741" s="97"/>
      <c r="C741" s="54"/>
      <c r="D741" s="55"/>
      <c r="E741" s="55"/>
      <c r="F741" s="55"/>
      <c r="G741" s="56"/>
      <c r="H741" s="133"/>
      <c r="I741" s="134"/>
      <c r="J741" s="134"/>
      <c r="K741" s="55"/>
      <c r="L741" s="55"/>
      <c r="M741" s="54"/>
    </row>
    <row r="742" spans="2:13" ht="49.5" customHeight="1" x14ac:dyDescent="0.3">
      <c r="B742" s="97"/>
      <c r="C742" s="54"/>
      <c r="D742" s="55"/>
      <c r="E742" s="55"/>
      <c r="F742" s="55"/>
      <c r="G742" s="56"/>
      <c r="H742" s="133"/>
      <c r="I742" s="134"/>
      <c r="J742" s="134"/>
      <c r="K742" s="55"/>
      <c r="L742" s="55"/>
      <c r="M742" s="54"/>
    </row>
    <row r="743" spans="2:13" ht="49.5" customHeight="1" x14ac:dyDescent="0.3">
      <c r="B743" s="97"/>
      <c r="C743" s="54"/>
      <c r="D743" s="55"/>
      <c r="E743" s="55"/>
      <c r="F743" s="55"/>
      <c r="G743" s="56"/>
      <c r="H743" s="133"/>
      <c r="I743" s="134"/>
      <c r="J743" s="134"/>
      <c r="K743" s="55"/>
      <c r="L743" s="55"/>
      <c r="M743" s="54"/>
    </row>
    <row r="744" spans="2:13" ht="49.5" customHeight="1" x14ac:dyDescent="0.3">
      <c r="B744" s="97"/>
      <c r="C744" s="54"/>
      <c r="D744" s="55"/>
      <c r="E744" s="55"/>
      <c r="F744" s="55"/>
      <c r="G744" s="56"/>
      <c r="H744" s="133"/>
      <c r="I744" s="134"/>
      <c r="J744" s="134"/>
      <c r="K744" s="55"/>
      <c r="L744" s="55"/>
      <c r="M744" s="54"/>
    </row>
    <row r="745" spans="2:13" ht="49.5" customHeight="1" x14ac:dyDescent="0.3">
      <c r="B745" s="97"/>
      <c r="C745" s="54"/>
      <c r="D745" s="55"/>
      <c r="E745" s="55"/>
      <c r="F745" s="55"/>
      <c r="G745" s="56"/>
      <c r="H745" s="133"/>
      <c r="I745" s="134"/>
      <c r="J745" s="134"/>
      <c r="K745" s="55"/>
      <c r="L745" s="55"/>
      <c r="M745" s="54"/>
    </row>
    <row r="746" spans="2:13" ht="49.5" customHeight="1" x14ac:dyDescent="0.3">
      <c r="B746" s="97"/>
      <c r="C746" s="54"/>
      <c r="D746" s="55"/>
      <c r="E746" s="55"/>
      <c r="F746" s="55"/>
      <c r="G746" s="56"/>
      <c r="H746" s="133"/>
      <c r="I746" s="134"/>
      <c r="J746" s="134"/>
      <c r="K746" s="55"/>
      <c r="L746" s="55"/>
      <c r="M746" s="54"/>
    </row>
    <row r="747" spans="2:13" ht="49.5" customHeight="1" x14ac:dyDescent="0.3">
      <c r="B747" s="97"/>
      <c r="C747" s="54"/>
      <c r="D747" s="55"/>
      <c r="E747" s="55"/>
      <c r="F747" s="55"/>
      <c r="G747" s="56"/>
      <c r="H747" s="133"/>
      <c r="I747" s="134"/>
      <c r="J747" s="134"/>
      <c r="K747" s="55"/>
      <c r="L747" s="55"/>
      <c r="M747" s="54"/>
    </row>
    <row r="748" spans="2:13" ht="49.5" customHeight="1" x14ac:dyDescent="0.3">
      <c r="B748" s="97"/>
      <c r="C748" s="54"/>
      <c r="D748" s="55"/>
      <c r="E748" s="55"/>
      <c r="F748" s="55"/>
      <c r="G748" s="56"/>
      <c r="H748" s="133"/>
      <c r="I748" s="134"/>
      <c r="J748" s="134"/>
      <c r="K748" s="55"/>
      <c r="L748" s="55"/>
      <c r="M748" s="54"/>
    </row>
    <row r="749" spans="2:13" ht="49.5" customHeight="1" x14ac:dyDescent="0.3">
      <c r="B749" s="97"/>
      <c r="C749" s="54"/>
      <c r="D749" s="55"/>
      <c r="E749" s="55"/>
      <c r="F749" s="55"/>
      <c r="G749" s="56"/>
      <c r="H749" s="133"/>
      <c r="I749" s="134"/>
      <c r="J749" s="134"/>
      <c r="K749" s="55"/>
      <c r="L749" s="55"/>
      <c r="M749" s="54"/>
    </row>
    <row r="750" spans="2:13" ht="49.5" customHeight="1" x14ac:dyDescent="0.3">
      <c r="B750" s="97"/>
      <c r="C750" s="54"/>
      <c r="D750" s="55"/>
      <c r="E750" s="55"/>
      <c r="F750" s="55"/>
      <c r="G750" s="56"/>
      <c r="H750" s="133"/>
      <c r="I750" s="134"/>
      <c r="J750" s="134"/>
      <c r="K750" s="55"/>
      <c r="L750" s="55"/>
      <c r="M750" s="54"/>
    </row>
    <row r="751" spans="2:13" ht="49.5" customHeight="1" x14ac:dyDescent="0.3">
      <c r="B751" s="97"/>
      <c r="C751" s="54"/>
      <c r="D751" s="55"/>
      <c r="E751" s="55"/>
      <c r="F751" s="55"/>
      <c r="G751" s="56"/>
      <c r="H751" s="133"/>
      <c r="I751" s="134"/>
      <c r="J751" s="134"/>
      <c r="K751" s="55"/>
      <c r="L751" s="55"/>
      <c r="M751" s="54"/>
    </row>
    <row r="752" spans="2:13" ht="49.5" customHeight="1" x14ac:dyDescent="0.3">
      <c r="B752" s="97"/>
      <c r="C752" s="54"/>
      <c r="D752" s="55"/>
      <c r="E752" s="55"/>
      <c r="F752" s="55"/>
      <c r="G752" s="56"/>
      <c r="H752" s="133"/>
      <c r="I752" s="134"/>
      <c r="J752" s="134"/>
      <c r="K752" s="55"/>
      <c r="L752" s="55"/>
      <c r="M752" s="54"/>
    </row>
    <row r="753" spans="2:13" ht="49.5" customHeight="1" x14ac:dyDescent="0.3">
      <c r="B753" s="97"/>
      <c r="C753" s="54"/>
      <c r="D753" s="55"/>
      <c r="E753" s="55"/>
      <c r="F753" s="55"/>
      <c r="G753" s="56"/>
      <c r="H753" s="133"/>
      <c r="I753" s="134"/>
      <c r="J753" s="134"/>
      <c r="K753" s="55"/>
      <c r="L753" s="55"/>
      <c r="M753" s="54"/>
    </row>
    <row r="754" spans="2:13" ht="49.5" customHeight="1" x14ac:dyDescent="0.3">
      <c r="B754" s="97"/>
      <c r="C754" s="54"/>
      <c r="D754" s="55"/>
      <c r="E754" s="55"/>
      <c r="F754" s="55"/>
      <c r="G754" s="56"/>
      <c r="H754" s="133"/>
      <c r="I754" s="134"/>
      <c r="J754" s="134"/>
      <c r="K754" s="55"/>
      <c r="L754" s="55"/>
      <c r="M754" s="54"/>
    </row>
    <row r="755" spans="2:13" ht="49.5" customHeight="1" x14ac:dyDescent="0.3">
      <c r="B755" s="97"/>
      <c r="C755" s="54"/>
      <c r="D755" s="55"/>
      <c r="E755" s="55"/>
      <c r="F755" s="55"/>
      <c r="G755" s="56"/>
      <c r="H755" s="133"/>
      <c r="I755" s="134"/>
      <c r="J755" s="134"/>
      <c r="K755" s="55"/>
      <c r="L755" s="55"/>
      <c r="M755" s="54"/>
    </row>
    <row r="756" spans="2:13" ht="49.5" customHeight="1" x14ac:dyDescent="0.3">
      <c r="B756" s="97"/>
      <c r="C756" s="54"/>
      <c r="D756" s="55"/>
      <c r="E756" s="55"/>
      <c r="F756" s="55"/>
      <c r="G756" s="56"/>
      <c r="H756" s="133"/>
      <c r="I756" s="134"/>
      <c r="J756" s="134"/>
      <c r="K756" s="55"/>
      <c r="L756" s="55"/>
      <c r="M756" s="54"/>
    </row>
    <row r="757" spans="2:13" ht="49.5" customHeight="1" x14ac:dyDescent="0.3">
      <c r="B757" s="97"/>
      <c r="C757" s="54"/>
      <c r="D757" s="55"/>
      <c r="E757" s="55"/>
      <c r="F757" s="55"/>
      <c r="G757" s="56"/>
      <c r="H757" s="133"/>
      <c r="I757" s="134"/>
      <c r="J757" s="134"/>
      <c r="K757" s="55"/>
      <c r="L757" s="55"/>
      <c r="M757" s="54"/>
    </row>
    <row r="758" spans="2:13" ht="49.5" customHeight="1" x14ac:dyDescent="0.3">
      <c r="B758" s="97"/>
      <c r="C758" s="54"/>
      <c r="D758" s="55"/>
      <c r="E758" s="55"/>
      <c r="F758" s="55"/>
      <c r="G758" s="56"/>
      <c r="H758" s="133"/>
      <c r="I758" s="134"/>
      <c r="J758" s="134"/>
      <c r="K758" s="55"/>
      <c r="L758" s="55"/>
      <c r="M758" s="54"/>
    </row>
    <row r="759" spans="2:13" ht="49.5" customHeight="1" x14ac:dyDescent="0.3">
      <c r="B759" s="97"/>
      <c r="C759" s="54"/>
      <c r="D759" s="55"/>
      <c r="E759" s="55"/>
      <c r="F759" s="55"/>
      <c r="G759" s="56"/>
      <c r="H759" s="133"/>
      <c r="I759" s="134"/>
      <c r="J759" s="134"/>
      <c r="K759" s="55"/>
      <c r="L759" s="55"/>
      <c r="M759" s="54"/>
    </row>
    <row r="760" spans="2:13" ht="49.5" customHeight="1" x14ac:dyDescent="0.3">
      <c r="B760" s="97"/>
      <c r="C760" s="54"/>
      <c r="D760" s="55"/>
      <c r="E760" s="55"/>
      <c r="F760" s="55"/>
      <c r="G760" s="56"/>
      <c r="H760" s="133"/>
      <c r="I760" s="134"/>
      <c r="J760" s="134"/>
      <c r="K760" s="55"/>
      <c r="L760" s="55"/>
      <c r="M760" s="54"/>
    </row>
    <row r="761" spans="2:13" ht="49.5" customHeight="1" x14ac:dyDescent="0.3">
      <c r="B761" s="97"/>
      <c r="C761" s="54"/>
      <c r="D761" s="55"/>
      <c r="E761" s="55"/>
      <c r="F761" s="55"/>
      <c r="G761" s="56"/>
      <c r="H761" s="133"/>
      <c r="I761" s="134"/>
      <c r="J761" s="134"/>
      <c r="K761" s="55"/>
      <c r="L761" s="55"/>
      <c r="M761" s="54"/>
    </row>
    <row r="762" spans="2:13" ht="49.5" customHeight="1" x14ac:dyDescent="0.3">
      <c r="B762" s="97"/>
      <c r="C762" s="54"/>
      <c r="D762" s="55"/>
      <c r="E762" s="55"/>
      <c r="F762" s="55"/>
      <c r="G762" s="56"/>
      <c r="H762" s="133"/>
      <c r="I762" s="134"/>
      <c r="J762" s="134"/>
      <c r="K762" s="55"/>
      <c r="L762" s="55"/>
      <c r="M762" s="54"/>
    </row>
    <row r="763" spans="2:13" ht="49.5" customHeight="1" x14ac:dyDescent="0.3">
      <c r="B763" s="97"/>
      <c r="C763" s="54"/>
      <c r="D763" s="55"/>
      <c r="E763" s="55"/>
      <c r="F763" s="55"/>
      <c r="G763" s="56"/>
      <c r="H763" s="133"/>
      <c r="I763" s="134"/>
      <c r="J763" s="134"/>
      <c r="K763" s="55"/>
      <c r="L763" s="55"/>
      <c r="M763" s="54"/>
    </row>
    <row r="764" spans="2:13" ht="49.5" customHeight="1" x14ac:dyDescent="0.3">
      <c r="B764" s="97"/>
      <c r="C764" s="54"/>
      <c r="D764" s="55"/>
      <c r="E764" s="55"/>
      <c r="F764" s="55"/>
      <c r="G764" s="56"/>
      <c r="H764" s="133"/>
      <c r="I764" s="134"/>
      <c r="J764" s="134"/>
      <c r="K764" s="55"/>
      <c r="L764" s="55"/>
      <c r="M764" s="54"/>
    </row>
    <row r="765" spans="2:13" ht="49.5" customHeight="1" x14ac:dyDescent="0.3">
      <c r="B765" s="97"/>
      <c r="C765" s="54"/>
      <c r="D765" s="55"/>
      <c r="E765" s="55"/>
      <c r="F765" s="55"/>
      <c r="G765" s="56"/>
      <c r="H765" s="133"/>
      <c r="I765" s="134"/>
      <c r="J765" s="134"/>
      <c r="K765" s="55"/>
      <c r="L765" s="55"/>
      <c r="M765" s="54"/>
    </row>
    <row r="766" spans="2:13" ht="49.5" customHeight="1" x14ac:dyDescent="0.3">
      <c r="B766" s="97"/>
      <c r="C766" s="54"/>
      <c r="D766" s="55"/>
      <c r="E766" s="55"/>
      <c r="F766" s="55"/>
      <c r="G766" s="56"/>
      <c r="H766" s="133"/>
      <c r="I766" s="134"/>
      <c r="J766" s="134"/>
      <c r="K766" s="55"/>
      <c r="L766" s="55"/>
      <c r="M766" s="54"/>
    </row>
    <row r="767" spans="2:13" ht="49.5" customHeight="1" x14ac:dyDescent="0.3">
      <c r="B767" s="97"/>
      <c r="C767" s="54"/>
      <c r="D767" s="55"/>
      <c r="E767" s="55"/>
      <c r="F767" s="55"/>
      <c r="G767" s="56"/>
      <c r="H767" s="133"/>
      <c r="I767" s="134"/>
      <c r="J767" s="134"/>
      <c r="K767" s="55"/>
      <c r="L767" s="55"/>
      <c r="M767" s="54"/>
    </row>
    <row r="768" spans="2:13" ht="49.5" customHeight="1" x14ac:dyDescent="0.3">
      <c r="B768" s="97"/>
      <c r="C768" s="54"/>
      <c r="D768" s="55"/>
      <c r="E768" s="55"/>
      <c r="F768" s="55"/>
      <c r="G768" s="56"/>
      <c r="H768" s="133"/>
      <c r="I768" s="134"/>
      <c r="J768" s="134"/>
      <c r="K768" s="55"/>
      <c r="L768" s="55"/>
      <c r="M768" s="54"/>
    </row>
    <row r="769" spans="2:13" ht="49.5" customHeight="1" x14ac:dyDescent="0.3">
      <c r="B769" s="97"/>
      <c r="C769" s="54"/>
      <c r="D769" s="55"/>
      <c r="E769" s="55"/>
      <c r="F769" s="55"/>
      <c r="G769" s="56"/>
      <c r="H769" s="133"/>
      <c r="I769" s="134"/>
      <c r="J769" s="134"/>
      <c r="K769" s="55"/>
      <c r="L769" s="55"/>
      <c r="M769" s="54"/>
    </row>
    <row r="770" spans="2:13" ht="49.5" customHeight="1" x14ac:dyDescent="0.3">
      <c r="B770" s="97"/>
      <c r="C770" s="54"/>
      <c r="D770" s="55"/>
      <c r="E770" s="55"/>
      <c r="F770" s="55"/>
      <c r="G770" s="56"/>
      <c r="H770" s="133"/>
      <c r="I770" s="134"/>
      <c r="J770" s="134"/>
      <c r="K770" s="55"/>
      <c r="L770" s="55"/>
      <c r="M770" s="54"/>
    </row>
    <row r="771" spans="2:13" ht="49.5" customHeight="1" x14ac:dyDescent="0.3">
      <c r="B771" s="97"/>
      <c r="C771" s="54"/>
      <c r="D771" s="55"/>
      <c r="E771" s="55"/>
      <c r="F771" s="55"/>
      <c r="G771" s="56"/>
      <c r="H771" s="133"/>
      <c r="I771" s="134"/>
      <c r="J771" s="134"/>
      <c r="K771" s="55"/>
      <c r="L771" s="55"/>
      <c r="M771" s="54"/>
    </row>
    <row r="772" spans="2:13" ht="49.5" customHeight="1" x14ac:dyDescent="0.3">
      <c r="B772" s="97"/>
      <c r="C772" s="54"/>
      <c r="D772" s="55"/>
      <c r="E772" s="55"/>
      <c r="F772" s="55"/>
      <c r="G772" s="56"/>
      <c r="H772" s="133"/>
      <c r="I772" s="134"/>
      <c r="J772" s="134"/>
      <c r="K772" s="55"/>
      <c r="L772" s="55"/>
      <c r="M772" s="54"/>
    </row>
    <row r="773" spans="2:13" ht="49.5" customHeight="1" x14ac:dyDescent="0.3">
      <c r="B773" s="97"/>
      <c r="C773" s="54"/>
      <c r="D773" s="55"/>
      <c r="E773" s="55"/>
      <c r="F773" s="55"/>
      <c r="G773" s="56"/>
      <c r="H773" s="133"/>
      <c r="I773" s="134"/>
      <c r="J773" s="134"/>
      <c r="K773" s="55"/>
      <c r="L773" s="55"/>
      <c r="M773" s="54"/>
    </row>
    <row r="774" spans="2:13" ht="49.5" customHeight="1" x14ac:dyDescent="0.3">
      <c r="B774" s="97"/>
      <c r="C774" s="54"/>
      <c r="D774" s="55"/>
      <c r="E774" s="55"/>
      <c r="F774" s="55"/>
      <c r="G774" s="56"/>
      <c r="H774" s="133"/>
      <c r="I774" s="134"/>
      <c r="J774" s="134"/>
      <c r="K774" s="55"/>
      <c r="L774" s="55"/>
      <c r="M774" s="54"/>
    </row>
    <row r="775" spans="2:13" ht="49.5" customHeight="1" x14ac:dyDescent="0.3">
      <c r="B775" s="97"/>
      <c r="C775" s="54"/>
      <c r="D775" s="55"/>
      <c r="E775" s="55"/>
      <c r="F775" s="55"/>
      <c r="G775" s="56"/>
      <c r="H775" s="133"/>
      <c r="I775" s="134"/>
      <c r="J775" s="134"/>
      <c r="K775" s="55"/>
      <c r="L775" s="55"/>
      <c r="M775" s="54"/>
    </row>
    <row r="776" spans="2:13" ht="49.5" customHeight="1" x14ac:dyDescent="0.3">
      <c r="B776" s="97"/>
      <c r="C776" s="54"/>
      <c r="D776" s="55"/>
      <c r="E776" s="55"/>
      <c r="F776" s="55"/>
      <c r="G776" s="56"/>
      <c r="H776" s="133"/>
      <c r="I776" s="134"/>
      <c r="J776" s="134"/>
      <c r="K776" s="55"/>
      <c r="L776" s="55"/>
      <c r="M776" s="54"/>
    </row>
    <row r="777" spans="2:13" ht="49.5" customHeight="1" x14ac:dyDescent="0.3">
      <c r="B777" s="97"/>
      <c r="C777" s="54"/>
      <c r="D777" s="55"/>
      <c r="E777" s="55"/>
      <c r="F777" s="55"/>
      <c r="G777" s="56"/>
      <c r="H777" s="133"/>
      <c r="I777" s="134"/>
      <c r="J777" s="134"/>
      <c r="K777" s="55"/>
      <c r="L777" s="55"/>
      <c r="M777" s="54"/>
    </row>
    <row r="778" spans="2:13" ht="49.5" customHeight="1" x14ac:dyDescent="0.3">
      <c r="B778" s="97"/>
      <c r="C778" s="54"/>
      <c r="D778" s="55"/>
      <c r="E778" s="55"/>
      <c r="F778" s="55"/>
      <c r="G778" s="56"/>
      <c r="H778" s="133"/>
      <c r="I778" s="134"/>
      <c r="J778" s="134"/>
      <c r="K778" s="55"/>
      <c r="L778" s="55"/>
      <c r="M778" s="54"/>
    </row>
    <row r="779" spans="2:13" ht="49.5" customHeight="1" x14ac:dyDescent="0.3">
      <c r="B779" s="97"/>
      <c r="C779" s="54"/>
      <c r="D779" s="55"/>
      <c r="E779" s="55"/>
      <c r="F779" s="55"/>
      <c r="G779" s="56"/>
      <c r="H779" s="133"/>
      <c r="I779" s="134"/>
      <c r="J779" s="134"/>
      <c r="K779" s="55"/>
      <c r="L779" s="55"/>
      <c r="M779" s="54"/>
    </row>
    <row r="780" spans="2:13" ht="49.5" customHeight="1" x14ac:dyDescent="0.3">
      <c r="B780" s="97"/>
      <c r="C780" s="54"/>
      <c r="D780" s="55"/>
      <c r="E780" s="55"/>
      <c r="F780" s="55"/>
      <c r="G780" s="56"/>
      <c r="H780" s="133"/>
      <c r="I780" s="134"/>
      <c r="J780" s="134"/>
      <c r="K780" s="55"/>
      <c r="L780" s="55"/>
      <c r="M780" s="54"/>
    </row>
    <row r="781" spans="2:13" ht="49.5" customHeight="1" x14ac:dyDescent="0.3">
      <c r="B781" s="97"/>
      <c r="C781" s="54"/>
      <c r="D781" s="55"/>
      <c r="E781" s="55"/>
      <c r="F781" s="55"/>
      <c r="G781" s="56"/>
      <c r="H781" s="133"/>
      <c r="I781" s="134"/>
      <c r="J781" s="134"/>
      <c r="K781" s="55"/>
      <c r="L781" s="55"/>
      <c r="M781" s="54"/>
    </row>
    <row r="782" spans="2:13" ht="49.5" customHeight="1" x14ac:dyDescent="0.3">
      <c r="B782" s="97"/>
      <c r="C782" s="54"/>
      <c r="D782" s="55"/>
      <c r="E782" s="55"/>
      <c r="F782" s="55"/>
      <c r="G782" s="56"/>
      <c r="H782" s="133"/>
      <c r="I782" s="134"/>
      <c r="J782" s="134"/>
      <c r="K782" s="55"/>
      <c r="L782" s="55"/>
      <c r="M782" s="54"/>
    </row>
    <row r="783" spans="2:13" ht="49.5" customHeight="1" x14ac:dyDescent="0.3">
      <c r="B783" s="97"/>
      <c r="C783" s="54"/>
      <c r="D783" s="55"/>
      <c r="E783" s="55"/>
      <c r="F783" s="55"/>
      <c r="G783" s="56"/>
      <c r="H783" s="133"/>
      <c r="I783" s="134"/>
      <c r="J783" s="134"/>
      <c r="K783" s="55"/>
      <c r="L783" s="55"/>
      <c r="M783" s="54"/>
    </row>
    <row r="784" spans="2:13" ht="49.5" customHeight="1" x14ac:dyDescent="0.3">
      <c r="B784" s="97"/>
      <c r="C784" s="54"/>
      <c r="D784" s="55"/>
      <c r="E784" s="55"/>
      <c r="F784" s="55"/>
      <c r="G784" s="56"/>
      <c r="H784" s="133"/>
      <c r="I784" s="134"/>
      <c r="J784" s="134"/>
      <c r="K784" s="55"/>
      <c r="L784" s="55"/>
      <c r="M784" s="54"/>
    </row>
    <row r="785" spans="2:13" ht="49.5" customHeight="1" x14ac:dyDescent="0.3">
      <c r="B785" s="97"/>
      <c r="C785" s="54"/>
      <c r="D785" s="55"/>
      <c r="E785" s="55"/>
      <c r="F785" s="55"/>
      <c r="G785" s="56"/>
      <c r="H785" s="133"/>
      <c r="I785" s="134"/>
      <c r="J785" s="134"/>
      <c r="K785" s="55"/>
      <c r="L785" s="55"/>
      <c r="M785" s="54"/>
    </row>
    <row r="786" spans="2:13" ht="49.5" customHeight="1" x14ac:dyDescent="0.3">
      <c r="B786" s="97"/>
      <c r="C786" s="54"/>
      <c r="D786" s="55"/>
      <c r="E786" s="55"/>
      <c r="F786" s="55"/>
      <c r="G786" s="56"/>
      <c r="H786" s="133"/>
      <c r="I786" s="134"/>
      <c r="J786" s="134"/>
      <c r="K786" s="55"/>
      <c r="L786" s="55"/>
      <c r="M786" s="54"/>
    </row>
    <row r="787" spans="2:13" ht="49.5" customHeight="1" x14ac:dyDescent="0.3">
      <c r="B787" s="97"/>
      <c r="C787" s="54"/>
      <c r="D787" s="55"/>
      <c r="E787" s="55"/>
      <c r="F787" s="55"/>
      <c r="G787" s="56"/>
      <c r="H787" s="133"/>
      <c r="I787" s="134"/>
      <c r="J787" s="134"/>
      <c r="K787" s="55"/>
      <c r="L787" s="55"/>
      <c r="M787" s="54"/>
    </row>
    <row r="788" spans="2:13" ht="49.5" customHeight="1" x14ac:dyDescent="0.3">
      <c r="B788" s="97"/>
      <c r="C788" s="54"/>
      <c r="D788" s="55"/>
      <c r="E788" s="55"/>
      <c r="F788" s="55"/>
      <c r="G788" s="56"/>
      <c r="H788" s="133"/>
      <c r="I788" s="134"/>
      <c r="J788" s="134"/>
      <c r="K788" s="55"/>
      <c r="L788" s="55"/>
      <c r="M788" s="54"/>
    </row>
    <row r="789" spans="2:13" ht="49.5" customHeight="1" x14ac:dyDescent="0.3">
      <c r="B789" s="97"/>
      <c r="C789" s="54"/>
      <c r="D789" s="55"/>
      <c r="E789" s="55"/>
      <c r="F789" s="55"/>
      <c r="G789" s="56"/>
      <c r="H789" s="133"/>
      <c r="I789" s="134"/>
      <c r="J789" s="134"/>
      <c r="K789" s="55"/>
      <c r="L789" s="55"/>
      <c r="M789" s="54"/>
    </row>
    <row r="790" spans="2:13" ht="49.5" customHeight="1" x14ac:dyDescent="0.3">
      <c r="B790" s="97"/>
      <c r="C790" s="54"/>
      <c r="D790" s="55"/>
      <c r="E790" s="55"/>
      <c r="F790" s="55"/>
      <c r="G790" s="56"/>
      <c r="H790" s="133"/>
      <c r="I790" s="134"/>
      <c r="J790" s="134"/>
      <c r="K790" s="55"/>
      <c r="L790" s="55"/>
      <c r="M790" s="54"/>
    </row>
    <row r="791" spans="2:13" ht="49.5" customHeight="1" x14ac:dyDescent="0.3">
      <c r="B791" s="97"/>
      <c r="C791" s="54"/>
      <c r="D791" s="55"/>
      <c r="E791" s="55"/>
      <c r="F791" s="55"/>
      <c r="G791" s="56"/>
      <c r="H791" s="133"/>
      <c r="I791" s="134"/>
      <c r="J791" s="134"/>
      <c r="K791" s="55"/>
      <c r="L791" s="55"/>
      <c r="M791" s="54"/>
    </row>
    <row r="792" spans="2:13" ht="49.5" customHeight="1" x14ac:dyDescent="0.3">
      <c r="B792" s="97"/>
      <c r="C792" s="54"/>
      <c r="D792" s="55"/>
      <c r="E792" s="55"/>
      <c r="F792" s="55"/>
      <c r="G792" s="56"/>
      <c r="H792" s="133"/>
      <c r="I792" s="134"/>
      <c r="J792" s="134"/>
      <c r="K792" s="55"/>
      <c r="L792" s="55"/>
      <c r="M792" s="54"/>
    </row>
    <row r="793" spans="2:13" ht="49.5" customHeight="1" x14ac:dyDescent="0.3">
      <c r="B793" s="97"/>
      <c r="C793" s="54"/>
      <c r="D793" s="55"/>
      <c r="E793" s="55"/>
      <c r="F793" s="55"/>
      <c r="G793" s="56"/>
      <c r="H793" s="133"/>
      <c r="I793" s="134"/>
      <c r="J793" s="134"/>
      <c r="K793" s="55"/>
      <c r="L793" s="55"/>
      <c r="M793" s="54"/>
    </row>
    <row r="794" spans="2:13" ht="49.5" customHeight="1" x14ac:dyDescent="0.3">
      <c r="B794" s="97"/>
      <c r="C794" s="54"/>
      <c r="D794" s="55"/>
      <c r="E794" s="55"/>
      <c r="F794" s="55"/>
      <c r="G794" s="56"/>
      <c r="H794" s="133"/>
      <c r="I794" s="134"/>
      <c r="J794" s="134"/>
      <c r="K794" s="55"/>
      <c r="L794" s="55"/>
      <c r="M794" s="54"/>
    </row>
    <row r="795" spans="2:13" ht="49.5" customHeight="1" x14ac:dyDescent="0.3">
      <c r="B795" s="97"/>
      <c r="C795" s="54"/>
      <c r="D795" s="55"/>
      <c r="E795" s="55"/>
      <c r="F795" s="55"/>
      <c r="G795" s="56"/>
      <c r="H795" s="133"/>
      <c r="I795" s="134"/>
      <c r="J795" s="134"/>
      <c r="K795" s="55"/>
      <c r="L795" s="55"/>
      <c r="M795" s="54"/>
    </row>
    <row r="796" spans="2:13" ht="49.5" customHeight="1" x14ac:dyDescent="0.3">
      <c r="B796" s="97"/>
      <c r="C796" s="54"/>
      <c r="D796" s="55"/>
      <c r="E796" s="55"/>
      <c r="F796" s="55"/>
      <c r="G796" s="56"/>
      <c r="H796" s="133"/>
      <c r="I796" s="134"/>
      <c r="J796" s="134"/>
      <c r="K796" s="55"/>
      <c r="L796" s="55"/>
      <c r="M796" s="54"/>
    </row>
    <row r="797" spans="2:13" ht="49.5" customHeight="1" x14ac:dyDescent="0.3">
      <c r="B797" s="97"/>
      <c r="C797" s="54"/>
      <c r="D797" s="55"/>
      <c r="E797" s="55"/>
      <c r="F797" s="55"/>
      <c r="G797" s="56"/>
      <c r="H797" s="133"/>
      <c r="I797" s="134"/>
      <c r="J797" s="134"/>
      <c r="K797" s="55"/>
      <c r="L797" s="55"/>
      <c r="M797" s="54"/>
    </row>
    <row r="798" spans="2:13" ht="49.5" customHeight="1" x14ac:dyDescent="0.3">
      <c r="B798" s="97"/>
      <c r="C798" s="54"/>
      <c r="D798" s="55"/>
      <c r="E798" s="55"/>
      <c r="F798" s="55"/>
      <c r="G798" s="56"/>
      <c r="H798" s="133"/>
      <c r="I798" s="134"/>
      <c r="J798" s="134"/>
      <c r="K798" s="55"/>
      <c r="L798" s="55"/>
      <c r="M798" s="54"/>
    </row>
    <row r="799" spans="2:13" ht="49.5" customHeight="1" x14ac:dyDescent="0.3">
      <c r="B799" s="97"/>
      <c r="C799" s="54"/>
      <c r="D799" s="55"/>
      <c r="E799" s="55"/>
      <c r="F799" s="55"/>
      <c r="G799" s="56"/>
      <c r="H799" s="133"/>
      <c r="I799" s="134"/>
      <c r="J799" s="134"/>
      <c r="K799" s="55"/>
      <c r="L799" s="55"/>
      <c r="M799" s="54"/>
    </row>
    <row r="800" spans="2:13" ht="49.5" customHeight="1" x14ac:dyDescent="0.3">
      <c r="B800" s="97"/>
      <c r="C800" s="54"/>
      <c r="D800" s="55"/>
      <c r="E800" s="55"/>
      <c r="F800" s="55"/>
      <c r="G800" s="56"/>
      <c r="H800" s="133"/>
      <c r="I800" s="134"/>
      <c r="J800" s="134"/>
      <c r="K800" s="55"/>
      <c r="L800" s="55"/>
      <c r="M800" s="54"/>
    </row>
    <row r="801" spans="2:13" ht="49.5" customHeight="1" x14ac:dyDescent="0.3">
      <c r="B801" s="97"/>
      <c r="C801" s="54"/>
      <c r="D801" s="55"/>
      <c r="E801" s="55"/>
      <c r="F801" s="55"/>
      <c r="G801" s="56"/>
      <c r="H801" s="133"/>
      <c r="I801" s="134"/>
      <c r="J801" s="134"/>
      <c r="K801" s="55"/>
      <c r="L801" s="55"/>
      <c r="M801" s="54"/>
    </row>
    <row r="802" spans="2:13" ht="49.5" customHeight="1" x14ac:dyDescent="0.3">
      <c r="B802" s="97"/>
      <c r="C802" s="54"/>
      <c r="D802" s="55"/>
      <c r="E802" s="55"/>
      <c r="F802" s="55"/>
      <c r="G802" s="56"/>
      <c r="H802" s="133"/>
      <c r="I802" s="134"/>
      <c r="J802" s="134"/>
      <c r="K802" s="55"/>
      <c r="L802" s="55"/>
      <c r="M802" s="54"/>
    </row>
    <row r="803" spans="2:13" ht="49.5" customHeight="1" x14ac:dyDescent="0.3">
      <c r="B803" s="97"/>
      <c r="C803" s="54"/>
      <c r="D803" s="55"/>
      <c r="E803" s="55"/>
      <c r="F803" s="55"/>
      <c r="G803" s="56"/>
      <c r="H803" s="133"/>
      <c r="I803" s="134"/>
      <c r="J803" s="134"/>
      <c r="K803" s="55"/>
      <c r="L803" s="55"/>
      <c r="M803" s="54"/>
    </row>
    <row r="804" spans="2:13" ht="49.5" customHeight="1" x14ac:dyDescent="0.3">
      <c r="B804" s="97"/>
      <c r="C804" s="54"/>
      <c r="D804" s="55"/>
      <c r="E804" s="55"/>
      <c r="F804" s="55"/>
      <c r="G804" s="56"/>
      <c r="H804" s="133"/>
      <c r="I804" s="134"/>
      <c r="J804" s="134"/>
      <c r="K804" s="55"/>
      <c r="L804" s="55"/>
      <c r="M804" s="54"/>
    </row>
    <row r="805" spans="2:13" ht="49.5" customHeight="1" x14ac:dyDescent="0.3">
      <c r="B805" s="97"/>
      <c r="C805" s="54"/>
      <c r="D805" s="55"/>
      <c r="E805" s="55"/>
      <c r="F805" s="55"/>
      <c r="G805" s="56"/>
      <c r="H805" s="133"/>
      <c r="I805" s="134"/>
      <c r="J805" s="134"/>
      <c r="K805" s="55"/>
      <c r="L805" s="55"/>
      <c r="M805" s="54"/>
    </row>
    <row r="806" spans="2:13" ht="49.5" customHeight="1" x14ac:dyDescent="0.3">
      <c r="B806" s="97"/>
      <c r="C806" s="54"/>
      <c r="D806" s="55"/>
      <c r="E806" s="55"/>
      <c r="F806" s="55"/>
      <c r="G806" s="56"/>
      <c r="H806" s="133"/>
      <c r="I806" s="134"/>
      <c r="J806" s="134"/>
      <c r="K806" s="55"/>
      <c r="L806" s="55"/>
      <c r="M806" s="54"/>
    </row>
    <row r="807" spans="2:13" ht="49.5" customHeight="1" x14ac:dyDescent="0.3">
      <c r="B807" s="97"/>
      <c r="C807" s="54"/>
      <c r="D807" s="55"/>
      <c r="E807" s="55"/>
      <c r="F807" s="55"/>
      <c r="G807" s="56"/>
      <c r="H807" s="133"/>
      <c r="I807" s="134"/>
      <c r="J807" s="134"/>
      <c r="K807" s="55"/>
      <c r="L807" s="55"/>
      <c r="M807" s="54"/>
    </row>
    <row r="808" spans="2:13" ht="49.5" customHeight="1" x14ac:dyDescent="0.3">
      <c r="B808" s="97"/>
      <c r="C808" s="54"/>
      <c r="D808" s="55"/>
      <c r="E808" s="55"/>
      <c r="F808" s="55"/>
      <c r="G808" s="56"/>
      <c r="H808" s="133"/>
      <c r="I808" s="134"/>
      <c r="J808" s="134"/>
      <c r="K808" s="55"/>
      <c r="L808" s="55"/>
      <c r="M808" s="54"/>
    </row>
    <row r="809" spans="2:13" ht="49.5" customHeight="1" x14ac:dyDescent="0.3">
      <c r="B809" s="97"/>
      <c r="C809" s="54"/>
      <c r="D809" s="55"/>
      <c r="E809" s="55"/>
      <c r="F809" s="55"/>
      <c r="G809" s="56"/>
      <c r="H809" s="133"/>
      <c r="I809" s="134"/>
      <c r="J809" s="134"/>
      <c r="K809" s="55"/>
      <c r="L809" s="55"/>
      <c r="M809" s="54"/>
    </row>
    <row r="810" spans="2:13" ht="49.5" customHeight="1" x14ac:dyDescent="0.3">
      <c r="B810" s="97"/>
      <c r="C810" s="54"/>
      <c r="D810" s="55"/>
      <c r="E810" s="55"/>
      <c r="F810" s="55"/>
      <c r="G810" s="56"/>
      <c r="H810" s="133"/>
      <c r="I810" s="134"/>
      <c r="J810" s="134"/>
      <c r="K810" s="55"/>
      <c r="L810" s="55"/>
      <c r="M810" s="54"/>
    </row>
    <row r="811" spans="2:13" ht="49.5" customHeight="1" x14ac:dyDescent="0.3">
      <c r="B811" s="97"/>
      <c r="C811" s="54"/>
      <c r="D811" s="55"/>
      <c r="E811" s="55"/>
      <c r="F811" s="55"/>
      <c r="G811" s="56"/>
      <c r="H811" s="133"/>
      <c r="I811" s="134"/>
      <c r="J811" s="134"/>
      <c r="K811" s="55"/>
      <c r="L811" s="55"/>
      <c r="M811" s="54"/>
    </row>
    <row r="812" spans="2:13" ht="49.5" customHeight="1" x14ac:dyDescent="0.3">
      <c r="B812" s="97"/>
      <c r="C812" s="54"/>
      <c r="D812" s="55"/>
      <c r="E812" s="55"/>
      <c r="F812" s="55"/>
      <c r="G812" s="56"/>
      <c r="H812" s="133"/>
      <c r="I812" s="134"/>
      <c r="J812" s="134"/>
      <c r="K812" s="55"/>
      <c r="L812" s="55"/>
      <c r="M812" s="54"/>
    </row>
    <row r="813" spans="2:13" ht="49.5" customHeight="1" x14ac:dyDescent="0.3">
      <c r="B813" s="97"/>
      <c r="C813" s="54"/>
      <c r="D813" s="55"/>
      <c r="E813" s="55"/>
      <c r="F813" s="55"/>
      <c r="G813" s="56"/>
      <c r="H813" s="133"/>
      <c r="I813" s="134"/>
      <c r="J813" s="134"/>
      <c r="K813" s="55"/>
      <c r="L813" s="55"/>
      <c r="M813" s="54"/>
    </row>
    <row r="814" spans="2:13" ht="49.5" customHeight="1" x14ac:dyDescent="0.3">
      <c r="B814" s="97"/>
      <c r="C814" s="54"/>
      <c r="D814" s="55"/>
      <c r="E814" s="55"/>
      <c r="F814" s="55"/>
      <c r="G814" s="56"/>
      <c r="H814" s="133"/>
      <c r="I814" s="134"/>
      <c r="J814" s="134"/>
      <c r="K814" s="55"/>
      <c r="L814" s="55"/>
      <c r="M814" s="54"/>
    </row>
    <row r="815" spans="2:13" ht="49.5" customHeight="1" x14ac:dyDescent="0.3">
      <c r="B815" s="97"/>
      <c r="C815" s="54"/>
      <c r="D815" s="55"/>
      <c r="E815" s="55"/>
      <c r="F815" s="55"/>
      <c r="G815" s="56"/>
      <c r="H815" s="133"/>
      <c r="I815" s="134"/>
      <c r="J815" s="134"/>
      <c r="K815" s="55"/>
      <c r="L815" s="55"/>
      <c r="M815" s="54"/>
    </row>
    <row r="816" spans="2:13" ht="49.5" customHeight="1" x14ac:dyDescent="0.3">
      <c r="B816" s="97"/>
      <c r="C816" s="54"/>
      <c r="D816" s="55"/>
      <c r="E816" s="55"/>
      <c r="F816" s="55"/>
      <c r="G816" s="56"/>
      <c r="H816" s="133"/>
      <c r="I816" s="134"/>
      <c r="J816" s="134"/>
      <c r="K816" s="55"/>
      <c r="L816" s="55"/>
      <c r="M816" s="54"/>
    </row>
    <row r="817" spans="2:13" ht="49.5" customHeight="1" x14ac:dyDescent="0.3">
      <c r="B817" s="97"/>
      <c r="C817" s="54"/>
      <c r="D817" s="55"/>
      <c r="E817" s="55"/>
      <c r="F817" s="55"/>
      <c r="G817" s="56"/>
      <c r="H817" s="133"/>
      <c r="I817" s="134"/>
      <c r="J817" s="134"/>
      <c r="K817" s="55"/>
      <c r="L817" s="55"/>
      <c r="M817" s="54"/>
    </row>
    <row r="818" spans="2:13" ht="49.5" customHeight="1" x14ac:dyDescent="0.3">
      <c r="B818" s="97"/>
      <c r="C818" s="54"/>
      <c r="D818" s="55"/>
      <c r="E818" s="55"/>
      <c r="F818" s="55"/>
      <c r="G818" s="56"/>
      <c r="H818" s="133"/>
      <c r="I818" s="134"/>
      <c r="J818" s="134"/>
      <c r="K818" s="55"/>
      <c r="L818" s="55"/>
      <c r="M818" s="54"/>
    </row>
    <row r="819" spans="2:13" ht="49.5" customHeight="1" x14ac:dyDescent="0.3">
      <c r="B819" s="97"/>
      <c r="C819" s="54"/>
      <c r="D819" s="55"/>
      <c r="E819" s="55"/>
      <c r="F819" s="55"/>
      <c r="G819" s="56"/>
      <c r="H819" s="133"/>
      <c r="I819" s="134"/>
      <c r="J819" s="134"/>
      <c r="K819" s="55"/>
      <c r="L819" s="55"/>
      <c r="M819" s="54"/>
    </row>
    <row r="820" spans="2:13" ht="49.5" customHeight="1" x14ac:dyDescent="0.3">
      <c r="B820" s="97"/>
      <c r="C820" s="54"/>
      <c r="D820" s="55"/>
      <c r="E820" s="55"/>
      <c r="F820" s="55"/>
      <c r="G820" s="56"/>
      <c r="H820" s="133"/>
      <c r="I820" s="134"/>
      <c r="J820" s="134"/>
      <c r="K820" s="55"/>
      <c r="L820" s="55"/>
      <c r="M820" s="54"/>
    </row>
    <row r="821" spans="2:13" ht="49.5" customHeight="1" x14ac:dyDescent="0.3">
      <c r="B821" s="97"/>
      <c r="C821" s="54"/>
      <c r="D821" s="55"/>
      <c r="E821" s="55"/>
      <c r="F821" s="55"/>
      <c r="G821" s="56"/>
      <c r="H821" s="133"/>
      <c r="I821" s="134"/>
      <c r="J821" s="134"/>
      <c r="K821" s="55"/>
      <c r="L821" s="55"/>
      <c r="M821" s="54"/>
    </row>
    <row r="822" spans="2:13" ht="49.5" customHeight="1" x14ac:dyDescent="0.3">
      <c r="B822" s="97"/>
      <c r="C822" s="54"/>
      <c r="D822" s="55"/>
      <c r="E822" s="55"/>
      <c r="F822" s="55"/>
      <c r="G822" s="56"/>
      <c r="H822" s="133"/>
      <c r="I822" s="134"/>
      <c r="J822" s="134"/>
      <c r="K822" s="55"/>
      <c r="L822" s="55"/>
      <c r="M822" s="54"/>
    </row>
    <row r="823" spans="2:13" ht="49.5" customHeight="1" x14ac:dyDescent="0.3">
      <c r="B823" s="97"/>
      <c r="C823" s="54"/>
      <c r="D823" s="55"/>
      <c r="E823" s="55"/>
      <c r="F823" s="55"/>
      <c r="G823" s="56"/>
      <c r="H823" s="133"/>
      <c r="I823" s="134"/>
      <c r="J823" s="134"/>
      <c r="K823" s="55"/>
      <c r="L823" s="55"/>
      <c r="M823" s="54"/>
    </row>
    <row r="824" spans="2:13" ht="49.5" customHeight="1" x14ac:dyDescent="0.3">
      <c r="B824" s="97"/>
      <c r="C824" s="54"/>
      <c r="D824" s="55"/>
      <c r="E824" s="55"/>
      <c r="F824" s="55"/>
      <c r="G824" s="56"/>
      <c r="H824" s="133"/>
      <c r="I824" s="134"/>
      <c r="J824" s="134"/>
      <c r="K824" s="55"/>
      <c r="L824" s="55"/>
      <c r="M824" s="54"/>
    </row>
    <row r="825" spans="2:13" ht="49.5" customHeight="1" x14ac:dyDescent="0.3">
      <c r="B825" s="97"/>
      <c r="C825" s="54"/>
      <c r="D825" s="55"/>
      <c r="E825" s="55"/>
      <c r="F825" s="55"/>
      <c r="G825" s="56"/>
      <c r="H825" s="133"/>
      <c r="I825" s="134"/>
      <c r="J825" s="134"/>
      <c r="K825" s="55"/>
      <c r="L825" s="55"/>
      <c r="M825" s="54"/>
    </row>
    <row r="826" spans="2:13" ht="49.5" customHeight="1" x14ac:dyDescent="0.3">
      <c r="B826" s="97"/>
      <c r="C826" s="54"/>
      <c r="D826" s="55"/>
      <c r="E826" s="55"/>
      <c r="F826" s="55"/>
      <c r="G826" s="56"/>
      <c r="H826" s="133"/>
      <c r="I826" s="134"/>
      <c r="J826" s="134"/>
      <c r="K826" s="55"/>
      <c r="L826" s="55"/>
      <c r="M826" s="54"/>
    </row>
    <row r="827" spans="2:13" ht="49.5" customHeight="1" x14ac:dyDescent="0.3">
      <c r="B827" s="97"/>
      <c r="C827" s="54"/>
      <c r="D827" s="55"/>
      <c r="E827" s="55"/>
      <c r="F827" s="55"/>
      <c r="G827" s="56"/>
      <c r="H827" s="133"/>
      <c r="I827" s="134"/>
      <c r="J827" s="134"/>
      <c r="K827" s="55"/>
      <c r="L827" s="55"/>
      <c r="M827" s="54"/>
    </row>
    <row r="828" spans="2:13" ht="49.5" customHeight="1" x14ac:dyDescent="0.3">
      <c r="B828" s="97"/>
      <c r="C828" s="54"/>
      <c r="D828" s="55"/>
      <c r="E828" s="55"/>
      <c r="F828" s="55"/>
      <c r="G828" s="56"/>
      <c r="H828" s="133"/>
      <c r="I828" s="134"/>
      <c r="J828" s="134"/>
      <c r="K828" s="55"/>
      <c r="L828" s="55"/>
      <c r="M828" s="54"/>
    </row>
    <row r="829" spans="2:13" ht="49.5" customHeight="1" x14ac:dyDescent="0.3">
      <c r="B829" s="97"/>
      <c r="C829" s="54"/>
      <c r="D829" s="55"/>
      <c r="E829" s="55"/>
      <c r="F829" s="55"/>
      <c r="G829" s="56"/>
      <c r="H829" s="133"/>
      <c r="I829" s="134"/>
      <c r="J829" s="134"/>
      <c r="K829" s="55"/>
      <c r="L829" s="55"/>
      <c r="M829" s="54"/>
    </row>
    <row r="830" spans="2:13" ht="49.5" customHeight="1" x14ac:dyDescent="0.3">
      <c r="B830" s="97"/>
      <c r="C830" s="54"/>
      <c r="D830" s="55"/>
      <c r="E830" s="55"/>
      <c r="F830" s="55"/>
      <c r="G830" s="56"/>
      <c r="H830" s="133"/>
      <c r="I830" s="134"/>
      <c r="J830" s="134"/>
      <c r="K830" s="55"/>
      <c r="L830" s="55"/>
      <c r="M830" s="54"/>
    </row>
    <row r="831" spans="2:13" ht="49.5" customHeight="1" x14ac:dyDescent="0.3">
      <c r="B831" s="97"/>
      <c r="C831" s="54"/>
      <c r="D831" s="55"/>
      <c r="E831" s="55"/>
      <c r="F831" s="55"/>
      <c r="G831" s="56"/>
      <c r="H831" s="133"/>
      <c r="I831" s="134"/>
      <c r="J831" s="134"/>
      <c r="K831" s="55"/>
      <c r="L831" s="55"/>
      <c r="M831" s="54"/>
    </row>
    <row r="832" spans="2:13" ht="49.5" customHeight="1" x14ac:dyDescent="0.3">
      <c r="B832" s="97"/>
      <c r="C832" s="54"/>
      <c r="D832" s="55"/>
      <c r="E832" s="55"/>
      <c r="F832" s="55"/>
      <c r="G832" s="56"/>
      <c r="H832" s="133"/>
      <c r="I832" s="134"/>
      <c r="J832" s="134"/>
      <c r="K832" s="55"/>
      <c r="L832" s="55"/>
      <c r="M832" s="54"/>
    </row>
    <row r="833" spans="2:13" ht="49.5" customHeight="1" x14ac:dyDescent="0.3">
      <c r="B833" s="97"/>
      <c r="C833" s="54"/>
      <c r="D833" s="55"/>
      <c r="E833" s="55"/>
      <c r="F833" s="55"/>
      <c r="G833" s="56"/>
      <c r="H833" s="133"/>
      <c r="I833" s="134"/>
      <c r="J833" s="134"/>
      <c r="K833" s="55"/>
      <c r="L833" s="55"/>
      <c r="M833" s="54"/>
    </row>
    <row r="834" spans="2:13" ht="49.5" customHeight="1" x14ac:dyDescent="0.3">
      <c r="B834" s="97"/>
      <c r="C834" s="54"/>
      <c r="D834" s="55"/>
      <c r="E834" s="55"/>
      <c r="F834" s="55"/>
      <c r="G834" s="56"/>
      <c r="H834" s="133"/>
      <c r="I834" s="134"/>
      <c r="J834" s="134"/>
      <c r="K834" s="55"/>
      <c r="L834" s="55"/>
      <c r="M834" s="54"/>
    </row>
    <row r="835" spans="2:13" ht="49.5" customHeight="1" x14ac:dyDescent="0.3">
      <c r="B835" s="97"/>
      <c r="C835" s="54"/>
      <c r="D835" s="55"/>
      <c r="E835" s="55"/>
      <c r="F835" s="55"/>
      <c r="G835" s="56"/>
      <c r="H835" s="133"/>
      <c r="I835" s="134"/>
      <c r="J835" s="134"/>
      <c r="K835" s="55"/>
      <c r="L835" s="55"/>
      <c r="M835" s="54"/>
    </row>
    <row r="836" spans="2:13" ht="49.5" customHeight="1" x14ac:dyDescent="0.3">
      <c r="B836" s="97"/>
      <c r="C836" s="54"/>
      <c r="D836" s="55"/>
      <c r="E836" s="55"/>
      <c r="F836" s="55"/>
      <c r="G836" s="56"/>
      <c r="H836" s="133"/>
      <c r="I836" s="134"/>
      <c r="J836" s="134"/>
      <c r="K836" s="55"/>
      <c r="L836" s="55"/>
      <c r="M836" s="54"/>
    </row>
    <row r="837" spans="2:13" ht="49.5" customHeight="1" x14ac:dyDescent="0.3">
      <c r="B837" s="97"/>
      <c r="C837" s="54"/>
      <c r="D837" s="55"/>
      <c r="E837" s="55"/>
      <c r="F837" s="55"/>
      <c r="G837" s="56"/>
      <c r="H837" s="133"/>
      <c r="I837" s="134"/>
      <c r="J837" s="134"/>
      <c r="K837" s="55"/>
      <c r="L837" s="55"/>
      <c r="M837" s="54"/>
    </row>
    <row r="838" spans="2:13" ht="49.5" customHeight="1" x14ac:dyDescent="0.3">
      <c r="B838" s="97"/>
      <c r="C838" s="54"/>
      <c r="D838" s="55"/>
      <c r="E838" s="55"/>
      <c r="F838" s="55"/>
      <c r="G838" s="56"/>
      <c r="H838" s="133"/>
      <c r="I838" s="134"/>
      <c r="J838" s="134"/>
      <c r="K838" s="55"/>
      <c r="L838" s="55"/>
      <c r="M838" s="54"/>
    </row>
    <row r="839" spans="2:13" ht="49.5" customHeight="1" x14ac:dyDescent="0.3">
      <c r="B839" s="97"/>
      <c r="C839" s="54"/>
      <c r="D839" s="55"/>
      <c r="E839" s="55"/>
      <c r="F839" s="55"/>
      <c r="G839" s="56"/>
      <c r="H839" s="133"/>
      <c r="I839" s="134"/>
      <c r="J839" s="134"/>
      <c r="K839" s="55"/>
      <c r="L839" s="55"/>
      <c r="M839" s="54"/>
    </row>
    <row r="840" spans="2:13" ht="49.5" customHeight="1" x14ac:dyDescent="0.3">
      <c r="B840" s="97"/>
      <c r="C840" s="54"/>
      <c r="D840" s="55"/>
      <c r="E840" s="55"/>
      <c r="F840" s="55"/>
      <c r="G840" s="56"/>
      <c r="H840" s="133"/>
      <c r="I840" s="134"/>
      <c r="J840" s="134"/>
      <c r="K840" s="55"/>
      <c r="L840" s="55"/>
      <c r="M840" s="54"/>
    </row>
    <row r="841" spans="2:13" ht="49.5" customHeight="1" x14ac:dyDescent="0.3">
      <c r="B841" s="97"/>
      <c r="C841" s="54"/>
      <c r="D841" s="55"/>
      <c r="E841" s="55"/>
      <c r="F841" s="55"/>
      <c r="G841" s="56"/>
      <c r="H841" s="133"/>
      <c r="I841" s="134"/>
      <c r="J841" s="134"/>
      <c r="K841" s="55"/>
      <c r="L841" s="55"/>
      <c r="M841" s="54"/>
    </row>
    <row r="842" spans="2:13" ht="49.5" customHeight="1" x14ac:dyDescent="0.3">
      <c r="B842" s="97"/>
      <c r="C842" s="54"/>
      <c r="D842" s="55"/>
      <c r="E842" s="55"/>
      <c r="F842" s="55"/>
      <c r="G842" s="56"/>
      <c r="H842" s="133"/>
      <c r="I842" s="134"/>
      <c r="J842" s="134"/>
      <c r="K842" s="55"/>
      <c r="L842" s="55"/>
      <c r="M842" s="54"/>
    </row>
    <row r="843" spans="2:13" ht="49.5" customHeight="1" x14ac:dyDescent="0.3">
      <c r="B843" s="97"/>
      <c r="C843" s="54"/>
      <c r="D843" s="55"/>
      <c r="E843" s="55"/>
      <c r="F843" s="55"/>
      <c r="G843" s="56"/>
      <c r="H843" s="133"/>
      <c r="I843" s="134"/>
      <c r="J843" s="134"/>
      <c r="K843" s="55"/>
      <c r="L843" s="55"/>
      <c r="M843" s="54"/>
    </row>
    <row r="844" spans="2:13" ht="49.5" customHeight="1" x14ac:dyDescent="0.3">
      <c r="B844" s="97"/>
      <c r="C844" s="54"/>
      <c r="D844" s="55"/>
      <c r="E844" s="55"/>
      <c r="F844" s="55"/>
      <c r="G844" s="56"/>
      <c r="H844" s="133"/>
      <c r="I844" s="134"/>
      <c r="J844" s="134"/>
      <c r="K844" s="55"/>
      <c r="L844" s="55"/>
      <c r="M844" s="54"/>
    </row>
    <row r="845" spans="2:13" ht="49.5" customHeight="1" x14ac:dyDescent="0.3">
      <c r="B845" s="97"/>
      <c r="C845" s="54"/>
      <c r="D845" s="55"/>
      <c r="E845" s="55"/>
      <c r="F845" s="55"/>
      <c r="G845" s="56"/>
      <c r="H845" s="133"/>
      <c r="I845" s="134"/>
      <c r="J845" s="134"/>
      <c r="K845" s="55"/>
      <c r="L845" s="55"/>
      <c r="M845" s="54"/>
    </row>
    <row r="846" spans="2:13" ht="49.5" customHeight="1" x14ac:dyDescent="0.3">
      <c r="B846" s="97"/>
      <c r="C846" s="54"/>
      <c r="D846" s="55"/>
      <c r="E846" s="55"/>
      <c r="F846" s="55"/>
      <c r="G846" s="56"/>
      <c r="H846" s="133"/>
      <c r="I846" s="134"/>
      <c r="J846" s="134"/>
      <c r="K846" s="55"/>
      <c r="L846" s="55"/>
      <c r="M846" s="54"/>
    </row>
    <row r="847" spans="2:13" ht="49.5" customHeight="1" x14ac:dyDescent="0.3">
      <c r="B847" s="97"/>
      <c r="C847" s="54"/>
      <c r="D847" s="55"/>
      <c r="E847" s="55"/>
      <c r="F847" s="55"/>
      <c r="G847" s="56"/>
      <c r="H847" s="133"/>
      <c r="I847" s="134"/>
      <c r="J847" s="134"/>
      <c r="K847" s="55"/>
      <c r="L847" s="55"/>
      <c r="M847" s="54"/>
    </row>
    <row r="848" spans="2:13" ht="49.5" customHeight="1" x14ac:dyDescent="0.3">
      <c r="B848" s="97"/>
      <c r="C848" s="54"/>
      <c r="D848" s="55"/>
      <c r="E848" s="55"/>
      <c r="F848" s="55"/>
      <c r="G848" s="56"/>
      <c r="H848" s="133"/>
      <c r="I848" s="134"/>
      <c r="J848" s="134"/>
      <c r="K848" s="55"/>
      <c r="L848" s="55"/>
      <c r="M848" s="54"/>
    </row>
    <row r="849" spans="2:13" ht="49.5" customHeight="1" x14ac:dyDescent="0.3">
      <c r="B849" s="97"/>
      <c r="C849" s="54"/>
      <c r="D849" s="55"/>
      <c r="E849" s="55"/>
      <c r="F849" s="55"/>
      <c r="G849" s="56"/>
      <c r="H849" s="133"/>
      <c r="I849" s="134"/>
      <c r="J849" s="134"/>
      <c r="K849" s="55"/>
      <c r="L849" s="55"/>
      <c r="M849" s="54"/>
    </row>
    <row r="850" spans="2:13" ht="49.5" customHeight="1" x14ac:dyDescent="0.3">
      <c r="B850" s="97"/>
      <c r="C850" s="54"/>
      <c r="D850" s="55"/>
      <c r="E850" s="55"/>
      <c r="F850" s="55"/>
      <c r="G850" s="56"/>
      <c r="H850" s="133"/>
      <c r="I850" s="134"/>
      <c r="J850" s="134"/>
      <c r="K850" s="55"/>
      <c r="L850" s="55"/>
      <c r="M850" s="54"/>
    </row>
    <row r="851" spans="2:13" ht="49.5" customHeight="1" x14ac:dyDescent="0.3">
      <c r="B851" s="97"/>
      <c r="C851" s="54"/>
      <c r="D851" s="55"/>
      <c r="E851" s="55"/>
      <c r="F851" s="55"/>
      <c r="G851" s="56"/>
      <c r="H851" s="133"/>
      <c r="I851" s="134"/>
      <c r="J851" s="134"/>
      <c r="K851" s="55"/>
      <c r="L851" s="55"/>
      <c r="M851" s="54"/>
    </row>
    <row r="852" spans="2:13" ht="49.5" customHeight="1" x14ac:dyDescent="0.3">
      <c r="B852" s="97"/>
      <c r="C852" s="54"/>
      <c r="D852" s="55"/>
      <c r="E852" s="55"/>
      <c r="F852" s="55"/>
      <c r="G852" s="56"/>
      <c r="H852" s="133"/>
      <c r="I852" s="134"/>
      <c r="J852" s="134"/>
      <c r="K852" s="55"/>
      <c r="L852" s="55"/>
      <c r="M852" s="54"/>
    </row>
    <row r="853" spans="2:13" ht="49.5" customHeight="1" x14ac:dyDescent="0.3">
      <c r="B853" s="97"/>
      <c r="C853" s="54"/>
      <c r="D853" s="55"/>
      <c r="E853" s="55"/>
      <c r="F853" s="55"/>
      <c r="G853" s="56"/>
      <c r="H853" s="133"/>
      <c r="I853" s="134"/>
      <c r="J853" s="134"/>
      <c r="K853" s="55"/>
      <c r="L853" s="55"/>
      <c r="M853" s="54"/>
    </row>
    <row r="854" spans="2:13" ht="49.5" customHeight="1" x14ac:dyDescent="0.3">
      <c r="B854" s="97"/>
      <c r="C854" s="54"/>
      <c r="D854" s="55"/>
      <c r="E854" s="55"/>
      <c r="F854" s="55"/>
      <c r="G854" s="56"/>
      <c r="H854" s="133"/>
      <c r="I854" s="134"/>
      <c r="J854" s="134"/>
      <c r="K854" s="55"/>
      <c r="L854" s="55"/>
      <c r="M854" s="54"/>
    </row>
    <row r="855" spans="2:13" ht="49.5" customHeight="1" x14ac:dyDescent="0.3">
      <c r="B855" s="97"/>
      <c r="C855" s="54"/>
      <c r="D855" s="55"/>
      <c r="E855" s="55"/>
      <c r="F855" s="55"/>
      <c r="G855" s="56"/>
      <c r="H855" s="133"/>
      <c r="I855" s="134"/>
      <c r="J855" s="134"/>
      <c r="K855" s="55"/>
      <c r="L855" s="55"/>
      <c r="M855" s="54"/>
    </row>
    <row r="856" spans="2:13" ht="49.5" customHeight="1" x14ac:dyDescent="0.3">
      <c r="B856" s="97"/>
      <c r="C856" s="54"/>
      <c r="D856" s="55"/>
      <c r="E856" s="55"/>
      <c r="F856" s="55"/>
      <c r="G856" s="56"/>
      <c r="H856" s="133"/>
      <c r="I856" s="134"/>
      <c r="J856" s="134"/>
      <c r="K856" s="55"/>
      <c r="L856" s="55"/>
      <c r="M856" s="54"/>
    </row>
    <row r="857" spans="2:13" ht="49.5" customHeight="1" x14ac:dyDescent="0.3">
      <c r="B857" s="97"/>
      <c r="C857" s="54"/>
      <c r="D857" s="55"/>
      <c r="E857" s="55"/>
      <c r="F857" s="55"/>
      <c r="G857" s="56"/>
      <c r="H857" s="133"/>
      <c r="I857" s="134"/>
      <c r="J857" s="134"/>
      <c r="K857" s="55"/>
      <c r="L857" s="55"/>
      <c r="M857" s="54"/>
    </row>
    <row r="858" spans="2:13" ht="49.5" customHeight="1" x14ac:dyDescent="0.3">
      <c r="B858" s="97"/>
      <c r="C858" s="54"/>
      <c r="D858" s="55"/>
      <c r="E858" s="55"/>
      <c r="F858" s="55"/>
      <c r="G858" s="56"/>
      <c r="H858" s="133"/>
      <c r="I858" s="134"/>
      <c r="J858" s="134"/>
      <c r="K858" s="55"/>
      <c r="L858" s="55"/>
      <c r="M858" s="54"/>
    </row>
    <row r="859" spans="2:13" ht="49.5" customHeight="1" x14ac:dyDescent="0.3">
      <c r="B859" s="97"/>
      <c r="C859" s="54"/>
      <c r="D859" s="55"/>
      <c r="E859" s="55"/>
      <c r="F859" s="55"/>
      <c r="G859" s="56"/>
      <c r="H859" s="133"/>
      <c r="I859" s="134"/>
      <c r="J859" s="134"/>
      <c r="K859" s="55"/>
      <c r="L859" s="55"/>
      <c r="M859" s="54"/>
    </row>
    <row r="860" spans="2:13" ht="49.5" customHeight="1" x14ac:dyDescent="0.3">
      <c r="B860" s="97"/>
      <c r="C860" s="54"/>
      <c r="D860" s="55"/>
      <c r="E860" s="55"/>
      <c r="F860" s="55"/>
      <c r="G860" s="56"/>
      <c r="H860" s="133"/>
      <c r="I860" s="134"/>
      <c r="J860" s="134"/>
      <c r="K860" s="55"/>
      <c r="L860" s="55"/>
      <c r="M860" s="54"/>
    </row>
    <row r="861" spans="2:13" ht="49.5" customHeight="1" x14ac:dyDescent="0.3">
      <c r="B861" s="97"/>
      <c r="C861" s="54"/>
      <c r="D861" s="55"/>
      <c r="E861" s="55"/>
      <c r="F861" s="55"/>
      <c r="G861" s="56"/>
      <c r="H861" s="133"/>
      <c r="I861" s="134"/>
      <c r="J861" s="134"/>
      <c r="K861" s="55"/>
      <c r="L861" s="55"/>
      <c r="M861" s="54"/>
    </row>
    <row r="862" spans="2:13" ht="49.5" customHeight="1" x14ac:dyDescent="0.3">
      <c r="B862" s="97"/>
      <c r="C862" s="54"/>
      <c r="D862" s="55"/>
      <c r="E862" s="55"/>
      <c r="F862" s="55"/>
      <c r="G862" s="56"/>
      <c r="H862" s="133"/>
      <c r="I862" s="134"/>
      <c r="J862" s="134"/>
      <c r="K862" s="55"/>
      <c r="L862" s="55"/>
      <c r="M862" s="54"/>
    </row>
    <row r="863" spans="2:13" ht="49.5" customHeight="1" x14ac:dyDescent="0.3">
      <c r="B863" s="97"/>
      <c r="C863" s="54"/>
      <c r="D863" s="55"/>
      <c r="E863" s="55"/>
      <c r="F863" s="55"/>
      <c r="G863" s="56"/>
      <c r="H863" s="133"/>
      <c r="I863" s="134"/>
      <c r="J863" s="134"/>
      <c r="K863" s="55"/>
      <c r="L863" s="55"/>
      <c r="M863" s="54"/>
    </row>
    <row r="864" spans="2:13" ht="49.5" customHeight="1" x14ac:dyDescent="0.3">
      <c r="B864" s="97"/>
      <c r="C864" s="54"/>
      <c r="D864" s="55"/>
      <c r="E864" s="55"/>
      <c r="F864" s="55"/>
      <c r="G864" s="56"/>
      <c r="H864" s="133"/>
      <c r="I864" s="134"/>
      <c r="J864" s="134"/>
      <c r="K864" s="55"/>
      <c r="L864" s="55"/>
      <c r="M864" s="54"/>
    </row>
    <row r="865" spans="2:13" ht="49.5" customHeight="1" x14ac:dyDescent="0.3">
      <c r="B865" s="97"/>
      <c r="C865" s="54"/>
      <c r="D865" s="55"/>
      <c r="E865" s="55"/>
      <c r="F865" s="55"/>
      <c r="G865" s="56"/>
      <c r="H865" s="133"/>
      <c r="I865" s="134"/>
      <c r="J865" s="134"/>
      <c r="K865" s="55"/>
      <c r="L865" s="55"/>
      <c r="M865" s="54"/>
    </row>
    <row r="866" spans="2:13" ht="49.5" customHeight="1" x14ac:dyDescent="0.3">
      <c r="B866" s="97"/>
      <c r="C866" s="54"/>
      <c r="D866" s="55"/>
      <c r="E866" s="55"/>
      <c r="F866" s="55"/>
      <c r="G866" s="56"/>
      <c r="H866" s="133"/>
      <c r="I866" s="134"/>
      <c r="J866" s="134"/>
      <c r="K866" s="55"/>
      <c r="L866" s="55"/>
      <c r="M866" s="54"/>
    </row>
    <row r="867" spans="2:13" ht="49.5" customHeight="1" x14ac:dyDescent="0.3">
      <c r="B867" s="97"/>
      <c r="C867" s="54"/>
      <c r="D867" s="55"/>
      <c r="E867" s="55"/>
      <c r="F867" s="55"/>
      <c r="G867" s="56"/>
      <c r="H867" s="133"/>
      <c r="I867" s="134"/>
      <c r="J867" s="134"/>
      <c r="K867" s="55"/>
      <c r="L867" s="55"/>
      <c r="M867" s="54"/>
    </row>
    <row r="868" spans="2:13" ht="49.5" customHeight="1" x14ac:dyDescent="0.3">
      <c r="B868" s="97"/>
      <c r="C868" s="54"/>
      <c r="D868" s="55"/>
      <c r="E868" s="55"/>
      <c r="F868" s="55"/>
      <c r="G868" s="56"/>
      <c r="H868" s="133"/>
      <c r="I868" s="134"/>
      <c r="J868" s="134"/>
      <c r="K868" s="55"/>
      <c r="L868" s="55"/>
      <c r="M868" s="54"/>
    </row>
    <row r="869" spans="2:13" ht="49.5" customHeight="1" x14ac:dyDescent="0.3">
      <c r="B869" s="97"/>
      <c r="C869" s="54"/>
      <c r="D869" s="55"/>
      <c r="E869" s="55"/>
      <c r="F869" s="55"/>
      <c r="G869" s="56"/>
      <c r="H869" s="133"/>
      <c r="I869" s="134"/>
      <c r="J869" s="134"/>
      <c r="K869" s="55"/>
      <c r="L869" s="55"/>
      <c r="M869" s="54"/>
    </row>
    <row r="870" spans="2:13" ht="49.5" customHeight="1" x14ac:dyDescent="0.3">
      <c r="B870" s="97"/>
      <c r="C870" s="54"/>
      <c r="D870" s="55"/>
      <c r="E870" s="55"/>
      <c r="F870" s="55"/>
      <c r="G870" s="56"/>
      <c r="H870" s="133"/>
      <c r="I870" s="134"/>
      <c r="J870" s="134"/>
      <c r="K870" s="55"/>
      <c r="L870" s="55"/>
      <c r="M870" s="54"/>
    </row>
    <row r="871" spans="2:13" ht="49.5" customHeight="1" x14ac:dyDescent="0.3">
      <c r="B871" s="97"/>
      <c r="C871" s="54"/>
      <c r="D871" s="55"/>
      <c r="E871" s="55"/>
      <c r="F871" s="55"/>
      <c r="G871" s="56"/>
      <c r="H871" s="133"/>
      <c r="I871" s="134"/>
      <c r="J871" s="134"/>
      <c r="K871" s="55"/>
      <c r="L871" s="55"/>
      <c r="M871" s="54"/>
    </row>
    <row r="872" spans="2:13" ht="49.5" customHeight="1" x14ac:dyDescent="0.3">
      <c r="B872" s="97"/>
      <c r="C872" s="54"/>
      <c r="D872" s="55"/>
      <c r="E872" s="55"/>
      <c r="F872" s="55"/>
      <c r="G872" s="56"/>
      <c r="H872" s="133"/>
      <c r="I872" s="134"/>
      <c r="J872" s="134"/>
      <c r="K872" s="55"/>
      <c r="L872" s="55"/>
      <c r="M872" s="54"/>
    </row>
    <row r="873" spans="2:13" ht="49.5" customHeight="1" x14ac:dyDescent="0.3">
      <c r="B873" s="97"/>
      <c r="C873" s="54"/>
      <c r="D873" s="55"/>
      <c r="E873" s="55"/>
      <c r="F873" s="55"/>
      <c r="G873" s="56"/>
      <c r="H873" s="133"/>
      <c r="I873" s="134"/>
      <c r="J873" s="134"/>
      <c r="K873" s="55"/>
      <c r="L873" s="55"/>
      <c r="M873" s="54"/>
    </row>
    <row r="874" spans="2:13" ht="49.5" customHeight="1" x14ac:dyDescent="0.3">
      <c r="B874" s="97"/>
      <c r="C874" s="54"/>
      <c r="D874" s="55"/>
      <c r="E874" s="55"/>
      <c r="F874" s="55"/>
      <c r="G874" s="56"/>
      <c r="H874" s="133"/>
      <c r="I874" s="134"/>
      <c r="J874" s="134"/>
      <c r="K874" s="55"/>
      <c r="L874" s="55"/>
      <c r="M874" s="54"/>
    </row>
    <row r="875" spans="2:13" ht="49.5" customHeight="1" x14ac:dyDescent="0.3">
      <c r="B875" s="97"/>
      <c r="C875" s="54"/>
      <c r="D875" s="55"/>
      <c r="E875" s="55"/>
      <c r="F875" s="55"/>
      <c r="G875" s="56"/>
      <c r="H875" s="133"/>
      <c r="I875" s="134"/>
      <c r="J875" s="134"/>
      <c r="K875" s="55"/>
      <c r="L875" s="55"/>
      <c r="M875" s="54"/>
    </row>
    <row r="876" spans="2:13" ht="49.5" customHeight="1" x14ac:dyDescent="0.3">
      <c r="B876" s="97"/>
      <c r="C876" s="54"/>
      <c r="D876" s="55"/>
      <c r="E876" s="55"/>
      <c r="F876" s="55"/>
      <c r="G876" s="56"/>
      <c r="H876" s="133"/>
      <c r="I876" s="134"/>
      <c r="J876" s="134"/>
      <c r="K876" s="55"/>
      <c r="L876" s="55"/>
      <c r="M876" s="54"/>
    </row>
    <row r="877" spans="2:13" ht="49.5" customHeight="1" x14ac:dyDescent="0.3">
      <c r="B877" s="97"/>
      <c r="C877" s="54"/>
      <c r="D877" s="55"/>
      <c r="E877" s="55"/>
      <c r="F877" s="55"/>
      <c r="G877" s="56"/>
      <c r="H877" s="133"/>
      <c r="I877" s="134"/>
      <c r="J877" s="134"/>
      <c r="K877" s="55"/>
      <c r="L877" s="55"/>
      <c r="M877" s="54"/>
    </row>
    <row r="878" spans="2:13" ht="49.5" customHeight="1" x14ac:dyDescent="0.3">
      <c r="B878" s="97"/>
      <c r="C878" s="54"/>
      <c r="D878" s="55"/>
      <c r="E878" s="55"/>
      <c r="F878" s="55"/>
      <c r="G878" s="56"/>
      <c r="H878" s="133"/>
      <c r="I878" s="134"/>
      <c r="J878" s="134"/>
      <c r="K878" s="55"/>
      <c r="L878" s="55"/>
      <c r="M878" s="54"/>
    </row>
    <row r="879" spans="2:13" ht="49.5" customHeight="1" x14ac:dyDescent="0.3">
      <c r="B879" s="97"/>
      <c r="C879" s="54"/>
      <c r="D879" s="55"/>
      <c r="E879" s="55"/>
      <c r="F879" s="55"/>
      <c r="G879" s="56"/>
      <c r="H879" s="133"/>
      <c r="I879" s="134"/>
      <c r="J879" s="134"/>
      <c r="K879" s="55"/>
      <c r="L879" s="55"/>
      <c r="M879" s="54"/>
    </row>
    <row r="880" spans="2:13" ht="49.5" customHeight="1" x14ac:dyDescent="0.3">
      <c r="B880" s="97"/>
      <c r="C880" s="54"/>
      <c r="D880" s="55"/>
      <c r="E880" s="55"/>
      <c r="F880" s="55"/>
      <c r="G880" s="56"/>
      <c r="H880" s="133"/>
      <c r="I880" s="134"/>
      <c r="J880" s="134"/>
      <c r="K880" s="55"/>
      <c r="L880" s="55"/>
      <c r="M880" s="54"/>
    </row>
    <row r="881" spans="2:13" ht="49.5" customHeight="1" x14ac:dyDescent="0.3">
      <c r="B881" s="97"/>
      <c r="C881" s="54"/>
      <c r="D881" s="55"/>
      <c r="E881" s="55"/>
      <c r="F881" s="55"/>
      <c r="G881" s="56"/>
      <c r="H881" s="133"/>
      <c r="I881" s="134"/>
      <c r="J881" s="134"/>
      <c r="K881" s="55"/>
      <c r="L881" s="55"/>
      <c r="M881" s="54"/>
    </row>
    <row r="882" spans="2:13" ht="49.5" customHeight="1" x14ac:dyDescent="0.3">
      <c r="B882" s="97"/>
      <c r="C882" s="54"/>
      <c r="D882" s="55"/>
      <c r="E882" s="55"/>
      <c r="F882" s="55"/>
      <c r="G882" s="56"/>
      <c r="H882" s="133"/>
      <c r="I882" s="134"/>
      <c r="J882" s="134"/>
      <c r="K882" s="55"/>
      <c r="L882" s="55"/>
      <c r="M882" s="54"/>
    </row>
    <row r="883" spans="2:13" ht="49.5" customHeight="1" x14ac:dyDescent="0.3">
      <c r="B883" s="97"/>
      <c r="C883" s="54"/>
      <c r="D883" s="55"/>
      <c r="E883" s="55"/>
      <c r="F883" s="55"/>
      <c r="G883" s="56"/>
      <c r="H883" s="133"/>
      <c r="I883" s="134"/>
      <c r="J883" s="134"/>
      <c r="K883" s="55"/>
      <c r="L883" s="55"/>
      <c r="M883" s="54"/>
    </row>
    <row r="884" spans="2:13" ht="49.5" customHeight="1" x14ac:dyDescent="0.3">
      <c r="B884" s="97"/>
      <c r="C884" s="54"/>
      <c r="D884" s="55"/>
      <c r="E884" s="55"/>
      <c r="F884" s="55"/>
      <c r="G884" s="56"/>
      <c r="H884" s="133"/>
      <c r="I884" s="134"/>
      <c r="J884" s="134"/>
      <c r="K884" s="55"/>
      <c r="L884" s="55"/>
      <c r="M884" s="54"/>
    </row>
    <row r="885" spans="2:13" ht="49.5" customHeight="1" x14ac:dyDescent="0.3">
      <c r="B885" s="97"/>
      <c r="C885" s="54"/>
      <c r="D885" s="55"/>
      <c r="E885" s="55"/>
      <c r="F885" s="55"/>
      <c r="G885" s="56"/>
      <c r="H885" s="133"/>
      <c r="I885" s="134"/>
      <c r="J885" s="134"/>
      <c r="K885" s="55"/>
      <c r="L885" s="55"/>
      <c r="M885" s="54"/>
    </row>
    <row r="886" spans="2:13" ht="49.5" customHeight="1" x14ac:dyDescent="0.3">
      <c r="B886" s="97"/>
      <c r="C886" s="54"/>
      <c r="D886" s="55"/>
      <c r="E886" s="55"/>
      <c r="F886" s="55"/>
      <c r="G886" s="56"/>
      <c r="H886" s="133"/>
      <c r="I886" s="134"/>
      <c r="J886" s="134"/>
      <c r="K886" s="55"/>
      <c r="L886" s="55"/>
      <c r="M886" s="54"/>
    </row>
    <row r="887" spans="2:13" ht="49.5" customHeight="1" x14ac:dyDescent="0.3">
      <c r="B887" s="97"/>
      <c r="C887" s="54"/>
      <c r="D887" s="55"/>
      <c r="E887" s="55"/>
      <c r="F887" s="55"/>
      <c r="G887" s="56"/>
      <c r="H887" s="133"/>
      <c r="I887" s="134"/>
      <c r="J887" s="134"/>
      <c r="K887" s="55"/>
      <c r="L887" s="55"/>
      <c r="M887" s="54"/>
    </row>
    <row r="888" spans="2:13" ht="49.5" customHeight="1" x14ac:dyDescent="0.3">
      <c r="B888" s="97"/>
      <c r="C888" s="54"/>
      <c r="D888" s="55"/>
      <c r="E888" s="55"/>
      <c r="F888" s="55"/>
      <c r="G888" s="56"/>
      <c r="H888" s="133"/>
      <c r="I888" s="134"/>
      <c r="J888" s="134"/>
      <c r="K888" s="55"/>
      <c r="L888" s="55"/>
      <c r="M888" s="54"/>
    </row>
    <row r="889" spans="2:13" ht="49.5" customHeight="1" x14ac:dyDescent="0.3">
      <c r="B889" s="97"/>
      <c r="C889" s="54"/>
      <c r="D889" s="55"/>
      <c r="E889" s="55"/>
      <c r="F889" s="55"/>
      <c r="G889" s="56"/>
      <c r="H889" s="133"/>
      <c r="I889" s="134"/>
      <c r="J889" s="134"/>
      <c r="K889" s="55"/>
      <c r="L889" s="55"/>
      <c r="M889" s="54"/>
    </row>
    <row r="890" spans="2:13" ht="49.5" customHeight="1" x14ac:dyDescent="0.3">
      <c r="B890" s="97"/>
      <c r="C890" s="54"/>
      <c r="D890" s="55"/>
      <c r="E890" s="55"/>
      <c r="F890" s="55"/>
      <c r="G890" s="56"/>
      <c r="H890" s="133"/>
      <c r="I890" s="134"/>
      <c r="J890" s="134"/>
      <c r="K890" s="55"/>
      <c r="L890" s="55"/>
      <c r="M890" s="54"/>
    </row>
    <row r="891" spans="2:13" ht="49.5" customHeight="1" x14ac:dyDescent="0.3">
      <c r="B891" s="97"/>
      <c r="C891" s="54"/>
      <c r="D891" s="55"/>
      <c r="E891" s="55"/>
      <c r="F891" s="55"/>
      <c r="G891" s="56"/>
      <c r="H891" s="133"/>
      <c r="I891" s="134"/>
      <c r="J891" s="134"/>
      <c r="K891" s="55"/>
      <c r="L891" s="55"/>
      <c r="M891" s="54"/>
    </row>
    <row r="892" spans="2:13" ht="49.5" customHeight="1" x14ac:dyDescent="0.3">
      <c r="B892" s="97"/>
      <c r="C892" s="54"/>
      <c r="D892" s="55"/>
      <c r="E892" s="55"/>
      <c r="F892" s="55"/>
      <c r="G892" s="56"/>
      <c r="H892" s="133"/>
      <c r="I892" s="134"/>
      <c r="J892" s="134"/>
      <c r="K892" s="55"/>
      <c r="L892" s="55"/>
      <c r="M892" s="54"/>
    </row>
    <row r="893" spans="2:13" ht="49.5" customHeight="1" x14ac:dyDescent="0.3">
      <c r="B893" s="97"/>
      <c r="C893" s="54"/>
      <c r="D893" s="55"/>
      <c r="E893" s="55"/>
      <c r="F893" s="55"/>
      <c r="G893" s="56"/>
      <c r="H893" s="133"/>
      <c r="I893" s="134"/>
      <c r="J893" s="134"/>
      <c r="K893" s="55"/>
      <c r="L893" s="55"/>
      <c r="M893" s="54"/>
    </row>
    <row r="894" spans="2:13" ht="49.5" customHeight="1" x14ac:dyDescent="0.3">
      <c r="B894" s="97"/>
      <c r="C894" s="54"/>
      <c r="D894" s="55"/>
      <c r="E894" s="55"/>
      <c r="F894" s="55"/>
      <c r="G894" s="56"/>
      <c r="H894" s="133"/>
      <c r="I894" s="134"/>
      <c r="J894" s="134"/>
      <c r="K894" s="55"/>
      <c r="L894" s="55"/>
      <c r="M894" s="54"/>
    </row>
    <row r="895" spans="2:13" ht="49.5" customHeight="1" x14ac:dyDescent="0.3">
      <c r="B895" s="97"/>
      <c r="C895" s="54"/>
      <c r="D895" s="55"/>
      <c r="E895" s="55"/>
      <c r="F895" s="55"/>
      <c r="G895" s="56"/>
      <c r="H895" s="133"/>
      <c r="I895" s="134"/>
      <c r="J895" s="134"/>
      <c r="K895" s="55"/>
      <c r="L895" s="55"/>
      <c r="M895" s="54"/>
    </row>
    <row r="896" spans="2:13" ht="49.5" customHeight="1" x14ac:dyDescent="0.3">
      <c r="B896" s="97"/>
      <c r="C896" s="54"/>
      <c r="D896" s="55"/>
      <c r="E896" s="55"/>
      <c r="F896" s="55"/>
      <c r="G896" s="56"/>
      <c r="H896" s="133"/>
      <c r="I896" s="134"/>
      <c r="J896" s="134"/>
      <c r="K896" s="55"/>
      <c r="L896" s="55"/>
      <c r="M896" s="54"/>
    </row>
    <row r="897" spans="2:13" ht="49.5" customHeight="1" x14ac:dyDescent="0.3">
      <c r="B897" s="97"/>
      <c r="C897" s="54"/>
      <c r="D897" s="55"/>
      <c r="E897" s="55"/>
      <c r="F897" s="55"/>
      <c r="G897" s="56"/>
      <c r="H897" s="133"/>
      <c r="I897" s="134"/>
      <c r="J897" s="134"/>
      <c r="K897" s="55"/>
      <c r="L897" s="55"/>
      <c r="M897" s="54"/>
    </row>
    <row r="898" spans="2:13" ht="49.5" customHeight="1" x14ac:dyDescent="0.3">
      <c r="B898" s="97"/>
      <c r="C898" s="54"/>
      <c r="D898" s="55"/>
      <c r="E898" s="55"/>
      <c r="F898" s="55"/>
      <c r="G898" s="56"/>
      <c r="H898" s="133"/>
      <c r="I898" s="134"/>
      <c r="J898" s="134"/>
      <c r="K898" s="55"/>
      <c r="L898" s="55"/>
      <c r="M898" s="54"/>
    </row>
    <row r="899" spans="2:13" ht="49.5" customHeight="1" x14ac:dyDescent="0.3">
      <c r="B899" s="97"/>
      <c r="C899" s="54"/>
      <c r="D899" s="55"/>
      <c r="E899" s="55"/>
      <c r="F899" s="55"/>
      <c r="G899" s="56"/>
      <c r="H899" s="133"/>
      <c r="I899" s="134"/>
      <c r="J899" s="134"/>
      <c r="K899" s="55"/>
      <c r="L899" s="55"/>
      <c r="M899" s="54"/>
    </row>
    <row r="900" spans="2:13" ht="49.5" customHeight="1" x14ac:dyDescent="0.3">
      <c r="B900" s="97"/>
      <c r="C900" s="54"/>
      <c r="D900" s="55"/>
      <c r="E900" s="55"/>
      <c r="F900" s="55"/>
      <c r="G900" s="56"/>
      <c r="H900" s="133"/>
      <c r="I900" s="134"/>
      <c r="J900" s="134"/>
      <c r="K900" s="55"/>
      <c r="L900" s="55"/>
      <c r="M900" s="54"/>
    </row>
    <row r="901" spans="2:13" ht="49.5" customHeight="1" x14ac:dyDescent="0.3">
      <c r="B901" s="97"/>
      <c r="C901" s="54"/>
      <c r="D901" s="55"/>
      <c r="E901" s="55"/>
      <c r="F901" s="55"/>
      <c r="G901" s="56"/>
      <c r="H901" s="133"/>
      <c r="I901" s="134"/>
      <c r="J901" s="134"/>
      <c r="K901" s="55"/>
      <c r="L901" s="55"/>
      <c r="M901" s="54"/>
    </row>
    <row r="902" spans="2:13" ht="49.5" customHeight="1" x14ac:dyDescent="0.3">
      <c r="B902" s="97"/>
      <c r="C902" s="54"/>
      <c r="D902" s="55"/>
      <c r="E902" s="55"/>
      <c r="F902" s="55"/>
      <c r="G902" s="56"/>
      <c r="H902" s="133"/>
      <c r="I902" s="134"/>
      <c r="J902" s="134"/>
      <c r="K902" s="55"/>
      <c r="L902" s="55"/>
      <c r="M902" s="54"/>
    </row>
    <row r="903" spans="2:13" ht="49.5" customHeight="1" x14ac:dyDescent="0.3">
      <c r="B903" s="97"/>
      <c r="C903" s="54"/>
      <c r="D903" s="55"/>
      <c r="E903" s="55"/>
      <c r="F903" s="55"/>
      <c r="G903" s="56"/>
      <c r="H903" s="133"/>
      <c r="I903" s="134"/>
      <c r="J903" s="134"/>
      <c r="K903" s="55"/>
      <c r="L903" s="55"/>
      <c r="M903" s="54"/>
    </row>
    <row r="904" spans="2:13" ht="49.5" customHeight="1" x14ac:dyDescent="0.3">
      <c r="B904" s="97"/>
      <c r="C904" s="54"/>
      <c r="D904" s="55"/>
      <c r="E904" s="55"/>
      <c r="F904" s="55"/>
      <c r="G904" s="56"/>
      <c r="H904" s="133"/>
      <c r="I904" s="134"/>
      <c r="J904" s="134"/>
      <c r="K904" s="55"/>
      <c r="L904" s="55"/>
      <c r="M904" s="54"/>
    </row>
    <row r="905" spans="2:13" ht="49.5" customHeight="1" x14ac:dyDescent="0.3">
      <c r="B905" s="97"/>
      <c r="C905" s="54"/>
      <c r="D905" s="55"/>
      <c r="E905" s="55"/>
      <c r="F905" s="55"/>
      <c r="G905" s="56"/>
      <c r="H905" s="133"/>
      <c r="I905" s="134"/>
      <c r="J905" s="134"/>
      <c r="K905" s="55"/>
      <c r="L905" s="55"/>
      <c r="M905" s="54"/>
    </row>
    <row r="906" spans="2:13" ht="49.5" customHeight="1" x14ac:dyDescent="0.3">
      <c r="B906" s="97"/>
      <c r="C906" s="54"/>
      <c r="D906" s="55"/>
      <c r="E906" s="55"/>
      <c r="F906" s="55"/>
      <c r="G906" s="56"/>
      <c r="H906" s="133"/>
      <c r="I906" s="134"/>
      <c r="J906" s="134"/>
      <c r="K906" s="55"/>
      <c r="L906" s="55"/>
      <c r="M906" s="54"/>
    </row>
    <row r="907" spans="2:13" ht="49.5" customHeight="1" x14ac:dyDescent="0.3">
      <c r="B907" s="97"/>
      <c r="C907" s="54"/>
      <c r="D907" s="55"/>
      <c r="E907" s="55"/>
      <c r="F907" s="55"/>
      <c r="G907" s="56"/>
      <c r="H907" s="133"/>
      <c r="I907" s="134"/>
      <c r="J907" s="134"/>
      <c r="K907" s="55"/>
      <c r="L907" s="55"/>
      <c r="M907" s="54"/>
    </row>
    <row r="908" spans="2:13" ht="49.5" customHeight="1" x14ac:dyDescent="0.3">
      <c r="B908" s="97"/>
      <c r="C908" s="54"/>
      <c r="D908" s="55"/>
      <c r="E908" s="55"/>
      <c r="F908" s="55"/>
      <c r="G908" s="56"/>
      <c r="H908" s="133"/>
      <c r="I908" s="134"/>
      <c r="J908" s="134"/>
      <c r="K908" s="55"/>
      <c r="L908" s="55"/>
      <c r="M908" s="54"/>
    </row>
    <row r="909" spans="2:13" ht="49.5" customHeight="1" x14ac:dyDescent="0.3">
      <c r="B909" s="97"/>
      <c r="C909" s="54"/>
      <c r="D909" s="55"/>
      <c r="E909" s="55"/>
      <c r="F909" s="55"/>
      <c r="G909" s="56"/>
      <c r="H909" s="133"/>
      <c r="I909" s="134"/>
      <c r="J909" s="134"/>
      <c r="K909" s="55"/>
      <c r="L909" s="55"/>
      <c r="M909" s="54"/>
    </row>
    <row r="910" spans="2:13" ht="49.5" customHeight="1" x14ac:dyDescent="0.3">
      <c r="B910" s="97"/>
      <c r="C910" s="54"/>
      <c r="D910" s="55"/>
      <c r="E910" s="55"/>
      <c r="F910" s="55"/>
      <c r="G910" s="56"/>
      <c r="H910" s="133"/>
      <c r="I910" s="134"/>
      <c r="J910" s="134"/>
      <c r="K910" s="55"/>
      <c r="L910" s="55"/>
      <c r="M910" s="54"/>
    </row>
    <row r="911" spans="2:13" ht="49.5" customHeight="1" x14ac:dyDescent="0.3">
      <c r="B911" s="97"/>
      <c r="C911" s="54"/>
      <c r="D911" s="55"/>
      <c r="E911" s="55"/>
      <c r="F911" s="55"/>
      <c r="G911" s="56"/>
      <c r="H911" s="133"/>
      <c r="I911" s="134"/>
      <c r="J911" s="134"/>
      <c r="K911" s="55"/>
      <c r="L911" s="55"/>
      <c r="M911" s="54"/>
    </row>
    <row r="912" spans="2:13" ht="49.5" customHeight="1" x14ac:dyDescent="0.3">
      <c r="B912" s="97"/>
      <c r="C912" s="54"/>
      <c r="D912" s="55"/>
      <c r="E912" s="55"/>
      <c r="F912" s="55"/>
      <c r="G912" s="56"/>
      <c r="H912" s="133"/>
      <c r="I912" s="134"/>
      <c r="J912" s="134"/>
      <c r="K912" s="55"/>
      <c r="L912" s="55"/>
      <c r="M912" s="54"/>
    </row>
    <row r="913" spans="2:13" ht="49.5" customHeight="1" x14ac:dyDescent="0.3">
      <c r="B913" s="97"/>
      <c r="C913" s="54"/>
      <c r="D913" s="55"/>
      <c r="E913" s="55"/>
      <c r="F913" s="55"/>
      <c r="G913" s="56"/>
      <c r="H913" s="133"/>
      <c r="I913" s="134"/>
      <c r="J913" s="134"/>
      <c r="K913" s="55"/>
      <c r="L913" s="55"/>
      <c r="M913" s="54"/>
    </row>
    <row r="914" spans="2:13" ht="49.5" customHeight="1" x14ac:dyDescent="0.3">
      <c r="B914" s="97"/>
      <c r="C914" s="54"/>
      <c r="D914" s="55"/>
      <c r="E914" s="55"/>
      <c r="F914" s="55"/>
      <c r="G914" s="56"/>
      <c r="H914" s="133"/>
      <c r="I914" s="134"/>
      <c r="J914" s="134"/>
      <c r="K914" s="55"/>
      <c r="L914" s="55"/>
      <c r="M914" s="54"/>
    </row>
    <row r="915" spans="2:13" ht="49.5" customHeight="1" x14ac:dyDescent="0.3">
      <c r="B915" s="97"/>
      <c r="C915" s="54"/>
      <c r="D915" s="55"/>
      <c r="E915" s="55"/>
      <c r="F915" s="55"/>
      <c r="G915" s="56"/>
      <c r="H915" s="133"/>
      <c r="I915" s="134"/>
      <c r="J915" s="134"/>
      <c r="K915" s="55"/>
      <c r="L915" s="55"/>
      <c r="M915" s="54"/>
    </row>
    <row r="916" spans="2:13" ht="49.5" customHeight="1" x14ac:dyDescent="0.3">
      <c r="B916" s="97"/>
      <c r="C916" s="54"/>
      <c r="D916" s="55"/>
      <c r="E916" s="55"/>
      <c r="F916" s="55"/>
      <c r="G916" s="56"/>
      <c r="H916" s="133"/>
      <c r="I916" s="134"/>
      <c r="J916" s="134"/>
      <c r="K916" s="55"/>
      <c r="L916" s="55"/>
      <c r="M916" s="54"/>
    </row>
    <row r="917" spans="2:13" ht="49.5" customHeight="1" x14ac:dyDescent="0.3">
      <c r="B917" s="97"/>
      <c r="C917" s="54"/>
      <c r="D917" s="55"/>
      <c r="E917" s="55"/>
      <c r="F917" s="55"/>
      <c r="G917" s="56"/>
      <c r="H917" s="133"/>
      <c r="I917" s="134"/>
      <c r="J917" s="134"/>
      <c r="K917" s="55"/>
      <c r="L917" s="55"/>
      <c r="M917" s="54"/>
    </row>
    <row r="918" spans="2:13" ht="49.5" customHeight="1" x14ac:dyDescent="0.3">
      <c r="B918" s="97"/>
      <c r="C918" s="54"/>
      <c r="D918" s="55"/>
      <c r="E918" s="55"/>
      <c r="F918" s="55"/>
      <c r="G918" s="56"/>
      <c r="H918" s="133"/>
      <c r="I918" s="134"/>
      <c r="J918" s="134"/>
      <c r="K918" s="55"/>
      <c r="L918" s="55"/>
      <c r="M918" s="54"/>
    </row>
    <row r="919" spans="2:13" ht="49.5" customHeight="1" x14ac:dyDescent="0.3">
      <c r="B919" s="97"/>
      <c r="C919" s="54"/>
      <c r="D919" s="55"/>
      <c r="E919" s="55"/>
      <c r="F919" s="55"/>
      <c r="G919" s="56"/>
      <c r="H919" s="133"/>
      <c r="I919" s="134"/>
      <c r="J919" s="134"/>
      <c r="K919" s="55"/>
      <c r="L919" s="55"/>
      <c r="M919" s="54"/>
    </row>
    <row r="920" spans="2:13" ht="49.5" customHeight="1" x14ac:dyDescent="0.3">
      <c r="B920" s="97"/>
      <c r="C920" s="54"/>
      <c r="D920" s="55"/>
      <c r="E920" s="55"/>
      <c r="F920" s="55"/>
      <c r="G920" s="56"/>
      <c r="H920" s="133"/>
      <c r="I920" s="134"/>
      <c r="J920" s="134"/>
      <c r="K920" s="55"/>
      <c r="L920" s="55"/>
      <c r="M920" s="54"/>
    </row>
    <row r="921" spans="2:13" ht="49.5" customHeight="1" x14ac:dyDescent="0.3">
      <c r="B921" s="97"/>
      <c r="C921" s="54"/>
      <c r="D921" s="55"/>
      <c r="E921" s="55"/>
      <c r="F921" s="55"/>
      <c r="G921" s="56"/>
      <c r="H921" s="133"/>
      <c r="I921" s="134"/>
      <c r="J921" s="134"/>
      <c r="K921" s="55"/>
      <c r="L921" s="55"/>
      <c r="M921" s="54"/>
    </row>
    <row r="922" spans="2:13" ht="49.5" customHeight="1" x14ac:dyDescent="0.3">
      <c r="B922" s="97"/>
      <c r="C922" s="54"/>
      <c r="D922" s="55"/>
      <c r="E922" s="55"/>
      <c r="F922" s="55"/>
      <c r="G922" s="56"/>
      <c r="H922" s="133"/>
      <c r="I922" s="134"/>
      <c r="J922" s="134"/>
      <c r="K922" s="55"/>
      <c r="L922" s="55"/>
      <c r="M922" s="54"/>
    </row>
    <row r="923" spans="2:13" ht="49.5" customHeight="1" x14ac:dyDescent="0.3">
      <c r="B923" s="97"/>
      <c r="C923" s="54"/>
      <c r="D923" s="55"/>
      <c r="E923" s="55"/>
      <c r="F923" s="55"/>
      <c r="G923" s="56"/>
      <c r="H923" s="133"/>
      <c r="I923" s="134"/>
      <c r="J923" s="134"/>
      <c r="K923" s="55"/>
      <c r="L923" s="55"/>
      <c r="M923" s="54"/>
    </row>
    <row r="924" spans="2:13" ht="49.5" customHeight="1" x14ac:dyDescent="0.3">
      <c r="B924" s="97"/>
      <c r="C924" s="54"/>
      <c r="D924" s="55"/>
      <c r="E924" s="55"/>
      <c r="F924" s="55"/>
      <c r="G924" s="56"/>
      <c r="H924" s="133"/>
      <c r="I924" s="134"/>
      <c r="J924" s="134"/>
      <c r="K924" s="55"/>
      <c r="L924" s="55"/>
      <c r="M924" s="54"/>
    </row>
    <row r="925" spans="2:13" ht="49.5" customHeight="1" x14ac:dyDescent="0.3">
      <c r="B925" s="97"/>
      <c r="C925" s="54"/>
      <c r="D925" s="55"/>
      <c r="E925" s="55"/>
      <c r="F925" s="55"/>
      <c r="G925" s="56"/>
      <c r="H925" s="133"/>
      <c r="I925" s="134"/>
      <c r="J925" s="134"/>
      <c r="K925" s="55"/>
      <c r="L925" s="55"/>
      <c r="M925" s="54"/>
    </row>
    <row r="926" spans="2:13" ht="49.5" customHeight="1" x14ac:dyDescent="0.3">
      <c r="B926" s="97"/>
      <c r="C926" s="54"/>
      <c r="D926" s="55"/>
      <c r="E926" s="55"/>
      <c r="F926" s="55"/>
      <c r="G926" s="56"/>
      <c r="H926" s="133"/>
      <c r="I926" s="134"/>
      <c r="J926" s="134"/>
      <c r="K926" s="55"/>
      <c r="L926" s="55"/>
      <c r="M926" s="54"/>
    </row>
    <row r="927" spans="2:13" ht="49.5" customHeight="1" x14ac:dyDescent="0.3">
      <c r="B927" s="97"/>
      <c r="C927" s="54"/>
      <c r="D927" s="55"/>
      <c r="E927" s="55"/>
      <c r="F927" s="55"/>
      <c r="G927" s="56"/>
      <c r="H927" s="133"/>
      <c r="I927" s="134"/>
      <c r="J927" s="134"/>
      <c r="K927" s="55"/>
      <c r="L927" s="55"/>
      <c r="M927" s="54"/>
    </row>
    <row r="928" spans="2:13" ht="49.5" customHeight="1" x14ac:dyDescent="0.3">
      <c r="B928" s="97"/>
      <c r="C928" s="54"/>
      <c r="D928" s="55"/>
      <c r="E928" s="55"/>
      <c r="F928" s="55"/>
      <c r="G928" s="56"/>
      <c r="H928" s="133"/>
      <c r="I928" s="134"/>
      <c r="J928" s="134"/>
      <c r="K928" s="55"/>
      <c r="L928" s="55"/>
      <c r="M928" s="54"/>
    </row>
    <row r="929" spans="2:13" ht="49.5" customHeight="1" x14ac:dyDescent="0.3">
      <c r="B929" s="97"/>
      <c r="C929" s="54"/>
      <c r="D929" s="55"/>
      <c r="E929" s="55"/>
      <c r="F929" s="55"/>
      <c r="G929" s="56"/>
      <c r="H929" s="133"/>
      <c r="I929" s="134"/>
      <c r="J929" s="134"/>
      <c r="K929" s="55"/>
      <c r="L929" s="55"/>
      <c r="M929" s="54"/>
    </row>
    <row r="930" spans="2:13" ht="49.5" customHeight="1" x14ac:dyDescent="0.3">
      <c r="B930" s="97"/>
      <c r="C930" s="54"/>
      <c r="D930" s="55"/>
      <c r="E930" s="55"/>
      <c r="F930" s="55"/>
      <c r="G930" s="56"/>
      <c r="H930" s="133"/>
      <c r="I930" s="134"/>
      <c r="J930" s="134"/>
      <c r="K930" s="55"/>
      <c r="L930" s="55"/>
      <c r="M930" s="54"/>
    </row>
    <row r="931" spans="2:13" ht="49.5" customHeight="1" x14ac:dyDescent="0.3">
      <c r="B931" s="97"/>
      <c r="C931" s="54"/>
      <c r="D931" s="55"/>
      <c r="E931" s="55"/>
      <c r="F931" s="55"/>
      <c r="G931" s="56"/>
      <c r="H931" s="133"/>
      <c r="I931" s="134"/>
      <c r="J931" s="134"/>
      <c r="K931" s="55"/>
      <c r="L931" s="55"/>
      <c r="M931" s="54"/>
    </row>
    <row r="932" spans="2:13" ht="49.5" customHeight="1" x14ac:dyDescent="0.3">
      <c r="B932" s="97"/>
      <c r="C932" s="54"/>
      <c r="D932" s="55"/>
      <c r="E932" s="55"/>
      <c r="F932" s="55"/>
      <c r="G932" s="56"/>
      <c r="H932" s="133"/>
      <c r="I932" s="134"/>
      <c r="J932" s="134"/>
      <c r="K932" s="55"/>
      <c r="L932" s="55"/>
      <c r="M932" s="54"/>
    </row>
    <row r="933" spans="2:13" ht="49.5" customHeight="1" x14ac:dyDescent="0.3">
      <c r="B933" s="97"/>
      <c r="C933" s="54"/>
      <c r="D933" s="55"/>
      <c r="E933" s="55"/>
      <c r="F933" s="55"/>
      <c r="G933" s="56"/>
      <c r="H933" s="133"/>
      <c r="I933" s="134"/>
      <c r="J933" s="134"/>
      <c r="K933" s="55"/>
      <c r="L933" s="55"/>
      <c r="M933" s="54"/>
    </row>
    <row r="934" spans="2:13" ht="49.5" customHeight="1" x14ac:dyDescent="0.3">
      <c r="B934" s="97"/>
      <c r="C934" s="54"/>
      <c r="D934" s="55"/>
      <c r="E934" s="55"/>
      <c r="F934" s="55"/>
      <c r="G934" s="56"/>
      <c r="H934" s="133"/>
      <c r="I934" s="134"/>
      <c r="J934" s="134"/>
      <c r="K934" s="55"/>
      <c r="L934" s="55"/>
      <c r="M934" s="54"/>
    </row>
    <row r="935" spans="2:13" ht="49.5" customHeight="1" x14ac:dyDescent="0.3">
      <c r="B935" s="97"/>
      <c r="C935" s="54"/>
      <c r="D935" s="55"/>
      <c r="E935" s="55"/>
      <c r="F935" s="55"/>
      <c r="G935" s="56"/>
      <c r="H935" s="133"/>
      <c r="I935" s="134"/>
      <c r="J935" s="134"/>
      <c r="K935" s="55"/>
      <c r="L935" s="55"/>
      <c r="M935" s="54"/>
    </row>
    <row r="936" spans="2:13" ht="49.5" customHeight="1" x14ac:dyDescent="0.3">
      <c r="B936" s="97"/>
      <c r="C936" s="54"/>
      <c r="D936" s="55"/>
      <c r="E936" s="55"/>
      <c r="F936" s="55"/>
      <c r="G936" s="56"/>
      <c r="H936" s="133"/>
      <c r="I936" s="134"/>
      <c r="J936" s="134"/>
      <c r="K936" s="55"/>
      <c r="L936" s="55"/>
      <c r="M936" s="54"/>
    </row>
    <row r="937" spans="2:13" ht="49.5" customHeight="1" x14ac:dyDescent="0.3">
      <c r="B937" s="97"/>
      <c r="C937" s="54"/>
      <c r="D937" s="55"/>
      <c r="E937" s="55"/>
      <c r="F937" s="55"/>
      <c r="G937" s="56"/>
      <c r="H937" s="133"/>
      <c r="I937" s="134"/>
      <c r="J937" s="134"/>
      <c r="K937" s="55"/>
      <c r="L937" s="55"/>
      <c r="M937" s="54"/>
    </row>
    <row r="938" spans="2:13" ht="49.5" customHeight="1" x14ac:dyDescent="0.3">
      <c r="B938" s="97"/>
      <c r="C938" s="54"/>
      <c r="D938" s="55"/>
      <c r="E938" s="55"/>
      <c r="F938" s="55"/>
      <c r="G938" s="56"/>
      <c r="H938" s="133"/>
      <c r="I938" s="134"/>
      <c r="J938" s="134"/>
      <c r="K938" s="55"/>
      <c r="L938" s="55"/>
      <c r="M938" s="54"/>
    </row>
    <row r="939" spans="2:13" ht="49.5" customHeight="1" x14ac:dyDescent="0.3">
      <c r="B939" s="97"/>
      <c r="C939" s="54"/>
      <c r="D939" s="55"/>
      <c r="E939" s="55"/>
      <c r="F939" s="55"/>
      <c r="G939" s="56"/>
      <c r="H939" s="133"/>
      <c r="I939" s="134"/>
      <c r="J939" s="134"/>
      <c r="K939" s="55"/>
      <c r="L939" s="55"/>
      <c r="M939" s="54"/>
    </row>
    <row r="940" spans="2:13" ht="49.5" customHeight="1" x14ac:dyDescent="0.3">
      <c r="B940" s="97"/>
      <c r="C940" s="54"/>
      <c r="D940" s="55"/>
      <c r="E940" s="55"/>
      <c r="F940" s="55"/>
      <c r="G940" s="56"/>
      <c r="H940" s="133"/>
      <c r="I940" s="134"/>
      <c r="J940" s="134"/>
      <c r="K940" s="55"/>
      <c r="L940" s="55"/>
      <c r="M940" s="54"/>
    </row>
    <row r="941" spans="2:13" ht="49.5" customHeight="1" x14ac:dyDescent="0.3">
      <c r="B941" s="97"/>
      <c r="C941" s="54"/>
      <c r="D941" s="55"/>
      <c r="E941" s="55"/>
      <c r="F941" s="55"/>
      <c r="G941" s="56"/>
      <c r="H941" s="133"/>
      <c r="I941" s="134"/>
      <c r="J941" s="134"/>
      <c r="K941" s="55"/>
      <c r="L941" s="55"/>
      <c r="M941" s="54"/>
    </row>
    <row r="942" spans="2:13" ht="49.5" customHeight="1" x14ac:dyDescent="0.3">
      <c r="B942" s="97"/>
      <c r="C942" s="54"/>
      <c r="D942" s="55"/>
      <c r="E942" s="55"/>
      <c r="F942" s="55"/>
      <c r="G942" s="56"/>
      <c r="H942" s="133"/>
      <c r="I942" s="134"/>
      <c r="J942" s="134"/>
      <c r="K942" s="55"/>
      <c r="L942" s="55"/>
      <c r="M942" s="54"/>
    </row>
    <row r="943" spans="2:13" ht="49.5" customHeight="1" x14ac:dyDescent="0.3">
      <c r="B943" s="97"/>
      <c r="C943" s="54"/>
      <c r="D943" s="55"/>
      <c r="E943" s="55"/>
      <c r="F943" s="55"/>
      <c r="G943" s="56"/>
      <c r="H943" s="133"/>
      <c r="I943" s="134"/>
      <c r="J943" s="134"/>
      <c r="K943" s="55"/>
      <c r="L943" s="55"/>
      <c r="M943" s="54"/>
    </row>
    <row r="944" spans="2:13" ht="49.5" customHeight="1" x14ac:dyDescent="0.3">
      <c r="B944" s="97"/>
      <c r="C944" s="54"/>
      <c r="D944" s="55"/>
      <c r="E944" s="55"/>
      <c r="F944" s="55"/>
      <c r="G944" s="56"/>
      <c r="H944" s="133"/>
      <c r="I944" s="134"/>
      <c r="J944" s="134"/>
      <c r="K944" s="55"/>
      <c r="L944" s="55"/>
      <c r="M944" s="54"/>
    </row>
    <row r="945" spans="2:13" ht="49.5" customHeight="1" x14ac:dyDescent="0.3">
      <c r="B945" s="97"/>
      <c r="C945" s="54"/>
      <c r="D945" s="55"/>
      <c r="E945" s="55"/>
      <c r="F945" s="55"/>
      <c r="G945" s="56"/>
      <c r="H945" s="133"/>
      <c r="I945" s="134"/>
      <c r="J945" s="134"/>
      <c r="K945" s="55"/>
      <c r="L945" s="55"/>
      <c r="M945" s="54"/>
    </row>
    <row r="946" spans="2:13" ht="49.5" customHeight="1" x14ac:dyDescent="0.3">
      <c r="B946" s="97"/>
      <c r="C946" s="54"/>
      <c r="D946" s="55"/>
      <c r="E946" s="55"/>
      <c r="F946" s="55"/>
      <c r="G946" s="56"/>
      <c r="H946" s="133"/>
      <c r="I946" s="134"/>
      <c r="J946" s="134"/>
      <c r="K946" s="55"/>
      <c r="L946" s="55"/>
      <c r="M946" s="54"/>
    </row>
    <row r="947" spans="2:13" ht="49.5" customHeight="1" x14ac:dyDescent="0.3">
      <c r="B947" s="97"/>
      <c r="C947" s="54"/>
      <c r="D947" s="55"/>
      <c r="E947" s="55"/>
      <c r="F947" s="55"/>
      <c r="G947" s="56"/>
      <c r="H947" s="133"/>
      <c r="I947" s="134"/>
      <c r="J947" s="134"/>
      <c r="K947" s="55"/>
      <c r="L947" s="55"/>
      <c r="M947" s="54"/>
    </row>
    <row r="948" spans="2:13" ht="49.5" customHeight="1" x14ac:dyDescent="0.3">
      <c r="B948" s="97"/>
      <c r="C948" s="54"/>
      <c r="D948" s="55"/>
      <c r="E948" s="55"/>
      <c r="F948" s="55"/>
      <c r="G948" s="56"/>
      <c r="H948" s="133"/>
      <c r="I948" s="134"/>
      <c r="J948" s="134"/>
      <c r="K948" s="55"/>
      <c r="L948" s="55"/>
      <c r="M948" s="54"/>
    </row>
    <row r="949" spans="2:13" ht="49.5" customHeight="1" x14ac:dyDescent="0.3">
      <c r="B949" s="97"/>
      <c r="C949" s="54"/>
      <c r="D949" s="55"/>
      <c r="E949" s="55"/>
      <c r="F949" s="55"/>
      <c r="G949" s="56"/>
      <c r="H949" s="133"/>
      <c r="I949" s="134"/>
      <c r="J949" s="134"/>
      <c r="K949" s="55"/>
      <c r="L949" s="55"/>
      <c r="M949" s="54"/>
    </row>
    <row r="950" spans="2:13" ht="49.5" customHeight="1" x14ac:dyDescent="0.3">
      <c r="B950" s="97"/>
      <c r="C950" s="54"/>
      <c r="D950" s="55"/>
      <c r="E950" s="55"/>
      <c r="F950" s="55"/>
      <c r="G950" s="56"/>
      <c r="H950" s="133"/>
      <c r="I950" s="134"/>
      <c r="J950" s="134"/>
      <c r="K950" s="55"/>
      <c r="L950" s="55"/>
      <c r="M950" s="54"/>
    </row>
    <row r="951" spans="2:13" ht="49.5" customHeight="1" x14ac:dyDescent="0.3">
      <c r="B951" s="97"/>
      <c r="C951" s="54"/>
      <c r="D951" s="55"/>
      <c r="E951" s="55"/>
      <c r="F951" s="55"/>
      <c r="G951" s="56"/>
      <c r="H951" s="133"/>
      <c r="I951" s="134"/>
      <c r="J951" s="134"/>
      <c r="K951" s="55"/>
      <c r="L951" s="55"/>
      <c r="M951" s="54"/>
    </row>
    <row r="952" spans="2:13" ht="49.5" customHeight="1" x14ac:dyDescent="0.3">
      <c r="B952" s="97"/>
      <c r="C952" s="54"/>
      <c r="D952" s="55"/>
      <c r="E952" s="55"/>
      <c r="F952" s="55"/>
      <c r="G952" s="56"/>
      <c r="H952" s="133"/>
      <c r="I952" s="134"/>
      <c r="J952" s="134"/>
      <c r="K952" s="55"/>
      <c r="L952" s="55"/>
      <c r="M952" s="54"/>
    </row>
    <row r="953" spans="2:13" ht="49.5" customHeight="1" x14ac:dyDescent="0.3">
      <c r="B953" s="97"/>
      <c r="C953" s="54"/>
      <c r="D953" s="55"/>
      <c r="E953" s="55"/>
      <c r="F953" s="55"/>
      <c r="G953" s="56"/>
      <c r="H953" s="133"/>
      <c r="I953" s="134"/>
      <c r="J953" s="134"/>
      <c r="K953" s="55"/>
      <c r="L953" s="55"/>
      <c r="M953" s="54"/>
    </row>
    <row r="954" spans="2:13" ht="49.5" customHeight="1" x14ac:dyDescent="0.3">
      <c r="B954" s="97"/>
      <c r="C954" s="54"/>
      <c r="D954" s="55"/>
      <c r="E954" s="55"/>
      <c r="F954" s="55"/>
      <c r="G954" s="56"/>
      <c r="H954" s="133"/>
      <c r="I954" s="134"/>
      <c r="J954" s="134"/>
      <c r="K954" s="55"/>
      <c r="L954" s="55"/>
      <c r="M954" s="54"/>
    </row>
    <row r="955" spans="2:13" ht="49.5" customHeight="1" x14ac:dyDescent="0.3">
      <c r="B955" s="97"/>
      <c r="C955" s="54"/>
      <c r="D955" s="55"/>
      <c r="E955" s="55"/>
      <c r="F955" s="55"/>
      <c r="G955" s="56"/>
      <c r="H955" s="133"/>
      <c r="I955" s="134"/>
      <c r="J955" s="134"/>
      <c r="K955" s="55"/>
      <c r="L955" s="55"/>
      <c r="M955" s="54"/>
    </row>
    <row r="956" spans="2:13" ht="49.5" customHeight="1" x14ac:dyDescent="0.3">
      <c r="B956" s="97"/>
      <c r="C956" s="54"/>
      <c r="D956" s="55"/>
      <c r="E956" s="55"/>
      <c r="F956" s="55"/>
      <c r="G956" s="56"/>
      <c r="H956" s="133"/>
      <c r="I956" s="134"/>
      <c r="J956" s="134"/>
      <c r="K956" s="55"/>
      <c r="L956" s="55"/>
      <c r="M956" s="54"/>
    </row>
    <row r="957" spans="2:13" ht="49.5" customHeight="1" x14ac:dyDescent="0.3">
      <c r="B957" s="97"/>
      <c r="C957" s="54"/>
      <c r="D957" s="55"/>
      <c r="E957" s="55"/>
      <c r="F957" s="55"/>
      <c r="G957" s="56"/>
      <c r="H957" s="133"/>
      <c r="I957" s="134"/>
      <c r="J957" s="134"/>
      <c r="K957" s="55"/>
      <c r="L957" s="55"/>
      <c r="M957" s="54"/>
    </row>
    <row r="958" spans="2:13" ht="49.5" customHeight="1" x14ac:dyDescent="0.3">
      <c r="B958" s="97"/>
      <c r="C958" s="54"/>
      <c r="D958" s="55"/>
      <c r="E958" s="55"/>
      <c r="F958" s="55"/>
      <c r="G958" s="56"/>
      <c r="H958" s="133"/>
      <c r="I958" s="134"/>
      <c r="J958" s="134"/>
      <c r="K958" s="55"/>
      <c r="L958" s="55"/>
      <c r="M958" s="54"/>
    </row>
    <row r="959" spans="2:13" ht="49.5" customHeight="1" x14ac:dyDescent="0.3">
      <c r="B959" s="97"/>
      <c r="C959" s="54"/>
      <c r="D959" s="55"/>
      <c r="E959" s="55"/>
      <c r="F959" s="55"/>
      <c r="G959" s="56"/>
      <c r="H959" s="133"/>
      <c r="I959" s="134"/>
      <c r="J959" s="134"/>
      <c r="K959" s="55"/>
      <c r="L959" s="55"/>
      <c r="M959" s="54"/>
    </row>
    <row r="960" spans="2:13" ht="49.5" customHeight="1" x14ac:dyDescent="0.3">
      <c r="B960" s="97"/>
      <c r="C960" s="54"/>
      <c r="D960" s="55"/>
      <c r="E960" s="55"/>
      <c r="F960" s="55"/>
      <c r="G960" s="56"/>
      <c r="H960" s="133"/>
      <c r="I960" s="134"/>
      <c r="J960" s="134"/>
      <c r="K960" s="55"/>
      <c r="L960" s="55"/>
      <c r="M960" s="54"/>
    </row>
    <row r="961" spans="2:13" ht="49.5" customHeight="1" x14ac:dyDescent="0.3">
      <c r="B961" s="97"/>
      <c r="C961" s="54"/>
      <c r="D961" s="55"/>
      <c r="E961" s="55"/>
      <c r="F961" s="55"/>
      <c r="G961" s="56"/>
      <c r="H961" s="133"/>
      <c r="I961" s="134"/>
      <c r="J961" s="134"/>
      <c r="K961" s="55"/>
      <c r="L961" s="55"/>
      <c r="M961" s="54"/>
    </row>
    <row r="962" spans="2:13" ht="49.5" customHeight="1" x14ac:dyDescent="0.3">
      <c r="B962" s="97"/>
      <c r="C962" s="54"/>
      <c r="D962" s="55"/>
      <c r="E962" s="55"/>
      <c r="F962" s="55"/>
      <c r="G962" s="56"/>
      <c r="H962" s="133"/>
      <c r="I962" s="134"/>
      <c r="J962" s="134"/>
      <c r="K962" s="55"/>
      <c r="L962" s="55"/>
      <c r="M962" s="54"/>
    </row>
    <row r="963" spans="2:13" ht="49.5" customHeight="1" x14ac:dyDescent="0.3">
      <c r="B963" s="97"/>
      <c r="C963" s="54"/>
      <c r="D963" s="55"/>
      <c r="E963" s="55"/>
      <c r="F963" s="55"/>
      <c r="G963" s="56"/>
      <c r="H963" s="133"/>
      <c r="I963" s="134"/>
      <c r="J963" s="134"/>
      <c r="K963" s="55"/>
      <c r="L963" s="55"/>
      <c r="M963" s="54"/>
    </row>
    <row r="964" spans="2:13" ht="49.5" customHeight="1" x14ac:dyDescent="0.3">
      <c r="B964" s="97"/>
      <c r="C964" s="54"/>
      <c r="D964" s="55"/>
      <c r="E964" s="55"/>
      <c r="F964" s="55"/>
      <c r="G964" s="56"/>
      <c r="H964" s="133"/>
      <c r="I964" s="134"/>
      <c r="J964" s="134"/>
      <c r="K964" s="55"/>
      <c r="L964" s="55"/>
      <c r="M964" s="54"/>
    </row>
    <row r="965" spans="2:13" ht="49.5" customHeight="1" x14ac:dyDescent="0.3">
      <c r="B965" s="97"/>
      <c r="C965" s="54"/>
      <c r="D965" s="55"/>
      <c r="E965" s="55"/>
      <c r="F965" s="55"/>
      <c r="G965" s="56"/>
      <c r="H965" s="133"/>
      <c r="I965" s="134"/>
      <c r="J965" s="134"/>
      <c r="K965" s="55"/>
      <c r="L965" s="55"/>
      <c r="M965" s="54"/>
    </row>
    <row r="966" spans="2:13" ht="49.5" customHeight="1" x14ac:dyDescent="0.3">
      <c r="B966" s="97"/>
      <c r="C966" s="54"/>
      <c r="D966" s="55"/>
      <c r="E966" s="55"/>
      <c r="F966" s="55"/>
      <c r="G966" s="56"/>
      <c r="H966" s="133"/>
      <c r="I966" s="134"/>
      <c r="J966" s="134"/>
      <c r="K966" s="55"/>
      <c r="L966" s="55"/>
      <c r="M966" s="54"/>
    </row>
    <row r="967" spans="2:13" ht="49.5" customHeight="1" x14ac:dyDescent="0.3">
      <c r="B967" s="97"/>
      <c r="C967" s="54"/>
      <c r="D967" s="55"/>
      <c r="E967" s="55"/>
      <c r="F967" s="55"/>
      <c r="G967" s="56"/>
      <c r="H967" s="133"/>
      <c r="I967" s="134"/>
      <c r="J967" s="134"/>
      <c r="K967" s="55"/>
      <c r="L967" s="55"/>
      <c r="M967" s="54"/>
    </row>
    <row r="968" spans="2:13" ht="49.5" customHeight="1" x14ac:dyDescent="0.3">
      <c r="B968" s="97"/>
      <c r="C968" s="54"/>
      <c r="D968" s="55"/>
      <c r="E968" s="55"/>
      <c r="F968" s="55"/>
      <c r="G968" s="56"/>
      <c r="H968" s="133"/>
      <c r="I968" s="134"/>
      <c r="J968" s="134"/>
      <c r="K968" s="55"/>
      <c r="L968" s="55"/>
      <c r="M968" s="54"/>
    </row>
    <row r="969" spans="2:13" ht="49.5" customHeight="1" x14ac:dyDescent="0.3">
      <c r="B969" s="97"/>
      <c r="C969" s="54"/>
      <c r="D969" s="55"/>
      <c r="E969" s="55"/>
      <c r="F969" s="55"/>
      <c r="G969" s="56"/>
      <c r="H969" s="133"/>
      <c r="I969" s="134"/>
      <c r="J969" s="134"/>
      <c r="K969" s="55"/>
      <c r="L969" s="55"/>
      <c r="M969" s="54"/>
    </row>
    <row r="970" spans="2:13" ht="49.5" customHeight="1" x14ac:dyDescent="0.3">
      <c r="B970" s="97"/>
      <c r="C970" s="54"/>
      <c r="D970" s="55"/>
      <c r="E970" s="55"/>
      <c r="F970" s="55"/>
      <c r="G970" s="56"/>
      <c r="H970" s="133"/>
      <c r="I970" s="134"/>
      <c r="J970" s="134"/>
      <c r="K970" s="55"/>
      <c r="L970" s="55"/>
      <c r="M970" s="54"/>
    </row>
    <row r="971" spans="2:13" ht="49.5" customHeight="1" x14ac:dyDescent="0.3">
      <c r="B971" s="97"/>
      <c r="C971" s="54"/>
      <c r="D971" s="55"/>
      <c r="E971" s="55"/>
      <c r="F971" s="55"/>
      <c r="G971" s="56"/>
      <c r="H971" s="133"/>
      <c r="I971" s="134"/>
      <c r="J971" s="134"/>
      <c r="K971" s="55"/>
      <c r="L971" s="55"/>
      <c r="M971" s="54"/>
    </row>
    <row r="972" spans="2:13" ht="49.5" customHeight="1" x14ac:dyDescent="0.3">
      <c r="B972" s="97"/>
      <c r="C972" s="54"/>
      <c r="D972" s="55"/>
      <c r="E972" s="55"/>
      <c r="F972" s="55"/>
      <c r="G972" s="56"/>
      <c r="H972" s="133"/>
      <c r="I972" s="134"/>
      <c r="J972" s="134"/>
      <c r="K972" s="55"/>
      <c r="L972" s="55"/>
      <c r="M972" s="54"/>
    </row>
    <row r="973" spans="2:13" ht="49.5" customHeight="1" x14ac:dyDescent="0.3">
      <c r="B973" s="97"/>
      <c r="C973" s="54"/>
      <c r="D973" s="55"/>
      <c r="E973" s="55"/>
      <c r="F973" s="55"/>
      <c r="G973" s="56"/>
      <c r="H973" s="133"/>
      <c r="I973" s="134"/>
      <c r="J973" s="134"/>
      <c r="K973" s="55"/>
      <c r="L973" s="55"/>
      <c r="M973" s="54"/>
    </row>
    <row r="974" spans="2:13" ht="49.5" customHeight="1" x14ac:dyDescent="0.3">
      <c r="B974" s="97"/>
      <c r="C974" s="54"/>
      <c r="D974" s="55"/>
      <c r="E974" s="55"/>
      <c r="F974" s="55"/>
      <c r="G974" s="56"/>
      <c r="H974" s="133"/>
      <c r="I974" s="134"/>
      <c r="J974" s="134"/>
      <c r="K974" s="55"/>
      <c r="L974" s="55"/>
      <c r="M974" s="54"/>
    </row>
    <row r="975" spans="2:13" ht="49.5" customHeight="1" x14ac:dyDescent="0.3">
      <c r="B975" s="97"/>
      <c r="C975" s="54"/>
      <c r="D975" s="55"/>
      <c r="E975" s="55"/>
      <c r="F975" s="55"/>
      <c r="G975" s="56"/>
      <c r="H975" s="133"/>
      <c r="I975" s="134"/>
      <c r="J975" s="134"/>
      <c r="K975" s="55"/>
      <c r="L975" s="55"/>
      <c r="M975" s="54"/>
    </row>
    <row r="976" spans="2:13" ht="49.5" customHeight="1" x14ac:dyDescent="0.3">
      <c r="B976" s="97"/>
      <c r="C976" s="54"/>
      <c r="D976" s="55"/>
      <c r="E976" s="55"/>
      <c r="F976" s="55"/>
      <c r="G976" s="56"/>
      <c r="H976" s="133"/>
      <c r="I976" s="134"/>
      <c r="J976" s="134"/>
      <c r="K976" s="55"/>
      <c r="L976" s="55"/>
      <c r="M976" s="54"/>
    </row>
    <row r="977" spans="2:13" ht="49.5" customHeight="1" x14ac:dyDescent="0.3">
      <c r="B977" s="97"/>
      <c r="C977" s="54"/>
      <c r="D977" s="55"/>
      <c r="E977" s="55"/>
      <c r="F977" s="55"/>
      <c r="G977" s="56"/>
      <c r="H977" s="133"/>
      <c r="I977" s="134"/>
      <c r="J977" s="134"/>
      <c r="K977" s="55"/>
      <c r="L977" s="55"/>
      <c r="M977" s="54"/>
    </row>
    <row r="978" spans="2:13" ht="49.5" customHeight="1" x14ac:dyDescent="0.3">
      <c r="B978" s="97"/>
      <c r="C978" s="54"/>
      <c r="D978" s="55"/>
      <c r="E978" s="55"/>
      <c r="F978" s="55"/>
      <c r="G978" s="56"/>
      <c r="H978" s="133"/>
      <c r="I978" s="134"/>
      <c r="J978" s="134"/>
      <c r="K978" s="55"/>
      <c r="L978" s="55"/>
      <c r="M978" s="54"/>
    </row>
    <row r="979" spans="2:13" ht="49.5" customHeight="1" x14ac:dyDescent="0.3">
      <c r="B979" s="97"/>
      <c r="C979" s="54"/>
      <c r="D979" s="55"/>
      <c r="E979" s="55"/>
      <c r="F979" s="55"/>
      <c r="G979" s="56"/>
      <c r="H979" s="133"/>
      <c r="I979" s="134"/>
      <c r="J979" s="134"/>
      <c r="K979" s="55"/>
      <c r="L979" s="55"/>
      <c r="M979" s="54"/>
    </row>
    <row r="980" spans="2:13" ht="49.5" customHeight="1" x14ac:dyDescent="0.3">
      <c r="B980" s="97"/>
      <c r="C980" s="54"/>
      <c r="D980" s="55"/>
      <c r="E980" s="55"/>
      <c r="F980" s="55"/>
      <c r="G980" s="56"/>
      <c r="H980" s="133"/>
      <c r="I980" s="134"/>
      <c r="J980" s="134"/>
      <c r="K980" s="55"/>
      <c r="L980" s="55"/>
      <c r="M980" s="54"/>
    </row>
    <row r="981" spans="2:13" ht="49.5" customHeight="1" x14ac:dyDescent="0.3">
      <c r="B981" s="97"/>
      <c r="C981" s="54"/>
      <c r="D981" s="55"/>
      <c r="E981" s="55"/>
      <c r="F981" s="55"/>
      <c r="G981" s="56"/>
      <c r="H981" s="133"/>
      <c r="I981" s="134"/>
      <c r="J981" s="134"/>
      <c r="K981" s="55"/>
      <c r="L981" s="55"/>
      <c r="M981" s="54"/>
    </row>
    <row r="982" spans="2:13" ht="49.5" customHeight="1" x14ac:dyDescent="0.3">
      <c r="B982" s="97"/>
      <c r="C982" s="54"/>
      <c r="D982" s="55"/>
      <c r="E982" s="55"/>
      <c r="F982" s="55"/>
      <c r="G982" s="56"/>
      <c r="H982" s="133"/>
      <c r="I982" s="134"/>
      <c r="J982" s="134"/>
      <c r="K982" s="55"/>
      <c r="L982" s="55"/>
      <c r="M982" s="54"/>
    </row>
    <row r="983" spans="2:13" ht="49.5" customHeight="1" x14ac:dyDescent="0.3">
      <c r="B983" s="97"/>
      <c r="C983" s="54"/>
      <c r="D983" s="55"/>
      <c r="E983" s="55"/>
      <c r="F983" s="55"/>
      <c r="G983" s="56"/>
      <c r="H983" s="133"/>
      <c r="I983" s="134"/>
      <c r="J983" s="134"/>
      <c r="K983" s="55"/>
      <c r="L983" s="55"/>
      <c r="M983" s="54"/>
    </row>
    <row r="984" spans="2:13" ht="49.5" customHeight="1" x14ac:dyDescent="0.3">
      <c r="B984" s="97"/>
      <c r="C984" s="54"/>
      <c r="D984" s="55"/>
      <c r="E984" s="55"/>
      <c r="F984" s="55"/>
      <c r="G984" s="56"/>
      <c r="H984" s="133"/>
      <c r="I984" s="134"/>
      <c r="J984" s="134"/>
      <c r="K984" s="55"/>
      <c r="L984" s="55"/>
      <c r="M984" s="54"/>
    </row>
    <row r="985" spans="2:13" ht="49.5" customHeight="1" x14ac:dyDescent="0.3">
      <c r="B985" s="97"/>
      <c r="C985" s="54"/>
      <c r="D985" s="55"/>
      <c r="E985" s="55"/>
      <c r="F985" s="55"/>
      <c r="G985" s="56"/>
      <c r="H985" s="133"/>
      <c r="I985" s="134"/>
      <c r="J985" s="134"/>
      <c r="K985" s="55"/>
      <c r="L985" s="55"/>
      <c r="M985" s="54"/>
    </row>
    <row r="986" spans="2:13" ht="49.5" customHeight="1" x14ac:dyDescent="0.3">
      <c r="B986" s="97"/>
      <c r="C986" s="54"/>
      <c r="D986" s="55"/>
      <c r="E986" s="55"/>
      <c r="F986" s="55"/>
      <c r="G986" s="56"/>
      <c r="H986" s="133"/>
      <c r="I986" s="134"/>
      <c r="J986" s="134"/>
      <c r="K986" s="55"/>
      <c r="L986" s="55"/>
      <c r="M986" s="54"/>
    </row>
    <row r="987" spans="2:13" ht="49.5" customHeight="1" x14ac:dyDescent="0.3">
      <c r="B987" s="97"/>
      <c r="C987" s="54"/>
      <c r="D987" s="55"/>
      <c r="E987" s="55"/>
      <c r="F987" s="55"/>
      <c r="G987" s="56"/>
      <c r="H987" s="133"/>
      <c r="I987" s="134"/>
      <c r="J987" s="134"/>
      <c r="K987" s="55"/>
      <c r="L987" s="55"/>
      <c r="M987" s="54"/>
    </row>
    <row r="988" spans="2:13" ht="49.5" customHeight="1" x14ac:dyDescent="0.3">
      <c r="B988" s="97"/>
      <c r="C988" s="54"/>
      <c r="D988" s="55"/>
      <c r="E988" s="55"/>
      <c r="F988" s="55"/>
      <c r="G988" s="56"/>
      <c r="H988" s="133"/>
      <c r="I988" s="134"/>
      <c r="J988" s="134"/>
      <c r="K988" s="55"/>
      <c r="L988" s="55"/>
      <c r="M988" s="54"/>
    </row>
    <row r="989" spans="2:13" ht="49.5" customHeight="1" x14ac:dyDescent="0.3">
      <c r="B989" s="97"/>
      <c r="C989" s="54"/>
      <c r="D989" s="55"/>
      <c r="E989" s="55"/>
      <c r="F989" s="55"/>
      <c r="G989" s="56"/>
      <c r="H989" s="133"/>
      <c r="I989" s="134"/>
      <c r="J989" s="134"/>
      <c r="K989" s="55"/>
      <c r="L989" s="55"/>
      <c r="M989" s="54"/>
    </row>
    <row r="990" spans="2:13" ht="49.5" customHeight="1" x14ac:dyDescent="0.3">
      <c r="B990" s="97"/>
      <c r="C990" s="54"/>
      <c r="D990" s="55"/>
      <c r="E990" s="55"/>
      <c r="F990" s="55"/>
      <c r="G990" s="56"/>
      <c r="H990" s="133"/>
      <c r="I990" s="134"/>
      <c r="J990" s="134"/>
      <c r="K990" s="55"/>
      <c r="L990" s="55"/>
      <c r="M990" s="54"/>
    </row>
    <row r="991" spans="2:13" ht="49.5" customHeight="1" x14ac:dyDescent="0.3">
      <c r="B991" s="97"/>
      <c r="C991" s="54"/>
      <c r="D991" s="55"/>
      <c r="E991" s="55"/>
      <c r="F991" s="55"/>
      <c r="G991" s="56"/>
      <c r="H991" s="133"/>
      <c r="I991" s="134"/>
      <c r="J991" s="134"/>
      <c r="K991" s="55"/>
      <c r="L991" s="55"/>
      <c r="M991" s="54"/>
    </row>
    <row r="992" spans="2:13" ht="49.5" customHeight="1" x14ac:dyDescent="0.3">
      <c r="B992" s="97"/>
      <c r="C992" s="54"/>
      <c r="D992" s="55"/>
      <c r="E992" s="55"/>
      <c r="F992" s="55"/>
      <c r="G992" s="56"/>
      <c r="H992" s="133"/>
      <c r="I992" s="134"/>
      <c r="J992" s="134"/>
      <c r="K992" s="55"/>
      <c r="L992" s="55"/>
      <c r="M992" s="54"/>
    </row>
    <row r="993" spans="2:13" ht="49.5" customHeight="1" x14ac:dyDescent="0.3">
      <c r="B993" s="97"/>
      <c r="C993" s="54"/>
      <c r="D993" s="55"/>
      <c r="E993" s="55"/>
      <c r="F993" s="55"/>
      <c r="G993" s="56"/>
      <c r="H993" s="133"/>
      <c r="I993" s="134"/>
      <c r="J993" s="134"/>
      <c r="K993" s="55"/>
      <c r="L993" s="55"/>
      <c r="M993" s="54"/>
    </row>
    <row r="994" spans="2:13" ht="49.5" customHeight="1" x14ac:dyDescent="0.3">
      <c r="B994" s="97"/>
      <c r="C994" s="54"/>
      <c r="D994" s="55"/>
      <c r="E994" s="55"/>
      <c r="F994" s="55"/>
      <c r="G994" s="56"/>
      <c r="H994" s="133"/>
      <c r="I994" s="134"/>
      <c r="J994" s="134"/>
      <c r="K994" s="55"/>
      <c r="L994" s="55"/>
      <c r="M994" s="54"/>
    </row>
    <row r="995" spans="2:13" ht="49.5" customHeight="1" x14ac:dyDescent="0.3">
      <c r="B995" s="97"/>
      <c r="C995" s="54"/>
      <c r="D995" s="55"/>
      <c r="E995" s="55"/>
      <c r="F995" s="55"/>
      <c r="G995" s="56"/>
      <c r="H995" s="133"/>
      <c r="I995" s="134"/>
      <c r="J995" s="134"/>
      <c r="K995" s="55"/>
      <c r="L995" s="55"/>
      <c r="M995" s="54"/>
    </row>
    <row r="996" spans="2:13" ht="49.5" customHeight="1" x14ac:dyDescent="0.3">
      <c r="B996" s="97"/>
      <c r="C996" s="54"/>
      <c r="D996" s="55"/>
      <c r="E996" s="55"/>
      <c r="F996" s="55"/>
      <c r="G996" s="56"/>
      <c r="H996" s="133"/>
      <c r="I996" s="134"/>
      <c r="J996" s="134"/>
      <c r="K996" s="55"/>
      <c r="L996" s="55"/>
      <c r="M996" s="54"/>
    </row>
    <row r="997" spans="2:13" ht="49.5" customHeight="1" x14ac:dyDescent="0.3">
      <c r="B997" s="97"/>
      <c r="C997" s="54"/>
      <c r="D997" s="55"/>
      <c r="E997" s="55"/>
      <c r="F997" s="55"/>
      <c r="G997" s="56"/>
      <c r="H997" s="133"/>
      <c r="I997" s="134"/>
      <c r="J997" s="134"/>
      <c r="K997" s="55"/>
      <c r="L997" s="55"/>
      <c r="M997" s="54"/>
    </row>
  </sheetData>
  <sheetProtection selectLockedCells="1"/>
  <mergeCells count="2">
    <mergeCell ref="B2:M2"/>
    <mergeCell ref="B1:M1"/>
  </mergeCells>
  <conditionalFormatting sqref="J4 J6:J1048576">
    <cfRule type="cellIs" dxfId="89" priority="17" operator="lessThan">
      <formula>0</formula>
    </cfRule>
    <cfRule type="cellIs" dxfId="88" priority="18" operator="greaterThan">
      <formula>0</formula>
    </cfRule>
  </conditionalFormatting>
  <conditionalFormatting sqref="K4:L4 K6:L1048576">
    <cfRule type="cellIs" dxfId="87" priority="14" operator="equal">
      <formula>"Breakeven"</formula>
    </cfRule>
    <cfRule type="cellIs" dxfId="86" priority="15" operator="equal">
      <formula>"Stop Loss"</formula>
    </cfRule>
    <cfRule type="cellIs" dxfId="85" priority="16" operator="equal">
      <formula>"Take Profit"</formula>
    </cfRule>
  </conditionalFormatting>
  <conditionalFormatting sqref="J5">
    <cfRule type="cellIs" dxfId="84" priority="4" operator="lessThan">
      <formula>0</formula>
    </cfRule>
    <cfRule type="cellIs" dxfId="83" priority="5" operator="greaterThan">
      <formula>0</formula>
    </cfRule>
  </conditionalFormatting>
  <conditionalFormatting sqref="K5:L5">
    <cfRule type="cellIs" dxfId="82" priority="1" operator="equal">
      <formula>"Breakeven"</formula>
    </cfRule>
    <cfRule type="cellIs" dxfId="81" priority="2" operator="equal">
      <formula>"Stop Loss"</formula>
    </cfRule>
    <cfRule type="cellIs" dxfId="80" priority="3" operator="equal">
      <formula>"Take Profit"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13D8006-B17D-4C63-8CCD-ACC4B808230C}">
          <x14:formula1>
            <xm:f>Padrões!$C$1:$C$3</xm:f>
          </x14:formula1>
          <xm:sqref>D4:D8</xm:sqref>
        </x14:dataValidation>
        <x14:dataValidation type="list" allowBlank="1" showInputMessage="1" showErrorMessage="1" xr:uid="{A24DB352-487F-4581-9974-D5249C3AB9F7}">
          <x14:formula1>
            <xm:f>Padrões!$A$1:$A$8</xm:f>
          </x14:formula1>
          <xm:sqref>F4:F8</xm:sqref>
        </x14:dataValidation>
        <x14:dataValidation type="list" allowBlank="1" showInputMessage="1" showErrorMessage="1" xr:uid="{1BD3E6BD-4134-4854-B855-A3BEF7CC90FC}">
          <x14:formula1>
            <xm:f>Padrões!$B$1:$B$4</xm:f>
          </x14:formula1>
          <xm:sqref>K4:K8</xm:sqref>
        </x14:dataValidation>
        <x14:dataValidation type="list" allowBlank="1" showInputMessage="1" showErrorMessage="1" xr:uid="{086F4295-EC7B-427E-BD67-2317AE636E42}">
          <x14:formula1>
            <xm:f>Padrões!$D$1:$D$4</xm:f>
          </x14:formula1>
          <xm:sqref>E4:E8</xm:sqref>
        </x14:dataValidation>
        <x14:dataValidation type="list" allowBlank="1" showInputMessage="1" showErrorMessage="1" xr:uid="{889DDA68-48A0-4872-B7B0-C3A3D6B46AAD}">
          <x14:formula1>
            <xm:f>Padrões!$E$1:$E$2</xm:f>
          </x14:formula1>
          <xm:sqref>L4:L8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CF71C-F97D-4BA9-840C-E837E047D43D}">
  <sheetPr codeName="Planilha9"/>
  <dimension ref="A1:CQ106"/>
  <sheetViews>
    <sheetView showGridLines="0" showRowColHeaders="0" zoomScale="55" zoomScaleNormal="55" zoomScaleSheetLayoutView="100" workbookViewId="0"/>
  </sheetViews>
  <sheetFormatPr defaultColWidth="0" defaultRowHeight="14.4" zeroHeight="1" x14ac:dyDescent="0.3"/>
  <cols>
    <col min="1" max="2" width="3.88671875" style="42" customWidth="1"/>
    <col min="3" max="95" width="3.6640625" style="42" customWidth="1"/>
    <col min="96" max="16384" width="3.6640625" style="42" hidden="1"/>
  </cols>
  <sheetData>
    <row r="1" x14ac:dyDescent="0.3"/>
    <row r="2" x14ac:dyDescent="0.3"/>
    <row r="3" x14ac:dyDescent="0.3"/>
    <row r="4" x14ac:dyDescent="0.3"/>
    <row r="5" x14ac:dyDescent="0.3"/>
    <row r="6" x14ac:dyDescent="0.3"/>
    <row r="7" x14ac:dyDescent="0.3"/>
    <row r="8" x14ac:dyDescent="0.3"/>
    <row r="9" x14ac:dyDescent="0.3"/>
    <row r="10" x14ac:dyDescent="0.3"/>
    <row r="11" x14ac:dyDescent="0.3"/>
    <row r="12" x14ac:dyDescent="0.3"/>
    <row r="13" x14ac:dyDescent="0.3"/>
    <row r="14" x14ac:dyDescent="0.3"/>
    <row r="15" x14ac:dyDescent="0.3"/>
    <row r="16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  <row r="3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48" x14ac:dyDescent="0.3"/>
    <row r="49" spans="8:62" x14ac:dyDescent="0.3"/>
    <row r="50" spans="8:62" x14ac:dyDescent="0.3"/>
    <row r="51" spans="8:62" x14ac:dyDescent="0.3"/>
    <row r="52" spans="8:62" x14ac:dyDescent="0.3"/>
    <row r="53" spans="8:62" x14ac:dyDescent="0.3"/>
    <row r="54" spans="8:62" x14ac:dyDescent="0.3"/>
    <row r="55" spans="8:62" x14ac:dyDescent="0.3"/>
    <row r="56" spans="8:62" x14ac:dyDescent="0.3"/>
    <row r="57" spans="8:62" x14ac:dyDescent="0.3"/>
    <row r="58" spans="8:62" x14ac:dyDescent="0.3"/>
    <row r="59" spans="8:62" x14ac:dyDescent="0.3"/>
    <row r="60" spans="8:62" x14ac:dyDescent="0.3"/>
    <row r="61" spans="8:62" x14ac:dyDescent="0.3"/>
    <row r="63" spans="8:62" hidden="1" x14ac:dyDescent="0.3"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</row>
    <row r="64" spans="8:62" hidden="1" x14ac:dyDescent="0.3"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</row>
    <row r="65" spans="8:62" hidden="1" x14ac:dyDescent="0.3"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</row>
    <row r="66" spans="8:62" hidden="1" x14ac:dyDescent="0.3"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</row>
    <row r="67" spans="8:62" hidden="1" x14ac:dyDescent="0.3"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</row>
    <row r="68" spans="8:62" hidden="1" x14ac:dyDescent="0.3"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</row>
    <row r="69" spans="8:62" hidden="1" x14ac:dyDescent="0.3"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</row>
    <row r="70" spans="8:62" hidden="1" x14ac:dyDescent="0.3"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</row>
    <row r="71" spans="8:62" hidden="1" x14ac:dyDescent="0.3"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</row>
    <row r="72" spans="8:62" hidden="1" x14ac:dyDescent="0.3"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</row>
    <row r="73" spans="8:62" hidden="1" x14ac:dyDescent="0.3"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</row>
    <row r="74" spans="8:62" hidden="1" x14ac:dyDescent="0.3"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</row>
    <row r="75" spans="8:62" hidden="1" x14ac:dyDescent="0.3"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</row>
    <row r="76" spans="8:62" hidden="1" x14ac:dyDescent="0.3"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</row>
    <row r="77" spans="8:62" hidden="1" x14ac:dyDescent="0.3"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</row>
    <row r="78" spans="8:62" hidden="1" x14ac:dyDescent="0.3"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</row>
    <row r="79" spans="8:62" hidden="1" x14ac:dyDescent="0.3"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</row>
    <row r="80" spans="8:62" hidden="1" x14ac:dyDescent="0.3"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</row>
    <row r="81" spans="8:62" hidden="1" x14ac:dyDescent="0.3"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</row>
    <row r="82" spans="8:62" hidden="1" x14ac:dyDescent="0.3"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</row>
    <row r="83" spans="8:62" hidden="1" x14ac:dyDescent="0.3"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</row>
    <row r="84" spans="8:62" hidden="1" x14ac:dyDescent="0.3"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</row>
    <row r="85" spans="8:62" hidden="1" x14ac:dyDescent="0.3"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</row>
    <row r="86" spans="8:62" hidden="1" x14ac:dyDescent="0.3"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</row>
    <row r="87" spans="8:62" hidden="1" x14ac:dyDescent="0.3"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</row>
    <row r="88" spans="8:62" hidden="1" x14ac:dyDescent="0.3"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</row>
    <row r="89" spans="8:62" hidden="1" x14ac:dyDescent="0.3"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</row>
    <row r="90" spans="8:62" hidden="1" x14ac:dyDescent="0.3"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</row>
    <row r="91" spans="8:62" hidden="1" x14ac:dyDescent="0.3"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</row>
    <row r="92" spans="8:62" hidden="1" x14ac:dyDescent="0.3"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</row>
    <row r="93" spans="8:62" hidden="1" x14ac:dyDescent="0.3"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</row>
    <row r="94" spans="8:62" hidden="1" x14ac:dyDescent="0.3"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</row>
    <row r="95" spans="8:62" hidden="1" x14ac:dyDescent="0.3"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</row>
    <row r="96" spans="8:62" hidden="1" x14ac:dyDescent="0.3"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</row>
    <row r="97" spans="8:62" hidden="1" x14ac:dyDescent="0.3"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</row>
    <row r="98" spans="8:62" hidden="1" x14ac:dyDescent="0.3"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</row>
    <row r="99" spans="8:62" hidden="1" x14ac:dyDescent="0.3"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</row>
    <row r="100" spans="8:62" hidden="1" x14ac:dyDescent="0.3"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</row>
    <row r="101" spans="8:62" hidden="1" x14ac:dyDescent="0.3"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</row>
    <row r="102" spans="8:62" hidden="1" x14ac:dyDescent="0.3"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</row>
    <row r="103" spans="8:62" hidden="1" x14ac:dyDescent="0.3"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</row>
    <row r="104" spans="8:62" hidden="1" x14ac:dyDescent="0.3"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</row>
    <row r="105" spans="8:62" hidden="1" x14ac:dyDescent="0.3"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</row>
    <row r="106" spans="8:62" hidden="1" x14ac:dyDescent="0.3"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B06AA-7044-48C3-927D-8E5D289376BE}">
  <sheetPr codeName="Planilha5"/>
  <dimension ref="A1:CQ106"/>
  <sheetViews>
    <sheetView showGridLines="0" showRowColHeaders="0" zoomScale="55" zoomScaleNormal="55" zoomScaleSheetLayoutView="100" workbookViewId="0"/>
  </sheetViews>
  <sheetFormatPr defaultColWidth="0" defaultRowHeight="14.4" zeroHeight="1" x14ac:dyDescent="0.3"/>
  <cols>
    <col min="1" max="2" width="3.88671875" style="42" customWidth="1"/>
    <col min="3" max="95" width="3.6640625" style="42" customWidth="1"/>
    <col min="96" max="16384" width="3.6640625" style="42" hidden="1"/>
  </cols>
  <sheetData>
    <row r="1" x14ac:dyDescent="0.3"/>
    <row r="2" x14ac:dyDescent="0.3"/>
    <row r="3" x14ac:dyDescent="0.3"/>
    <row r="4" x14ac:dyDescent="0.3"/>
    <row r="5" x14ac:dyDescent="0.3"/>
    <row r="6" x14ac:dyDescent="0.3"/>
    <row r="7" x14ac:dyDescent="0.3"/>
    <row r="8" x14ac:dyDescent="0.3"/>
    <row r="9" x14ac:dyDescent="0.3"/>
    <row r="10" x14ac:dyDescent="0.3"/>
    <row r="11" x14ac:dyDescent="0.3"/>
    <row r="12" x14ac:dyDescent="0.3"/>
    <row r="13" x14ac:dyDescent="0.3"/>
    <row r="14" x14ac:dyDescent="0.3"/>
    <row r="15" x14ac:dyDescent="0.3"/>
    <row r="16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  <row r="3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48" x14ac:dyDescent="0.3"/>
    <row r="49" spans="8:62" x14ac:dyDescent="0.3"/>
    <row r="50" spans="8:62" x14ac:dyDescent="0.3"/>
    <row r="51" spans="8:62" x14ac:dyDescent="0.3"/>
    <row r="52" spans="8:62" x14ac:dyDescent="0.3"/>
    <row r="53" spans="8:62" x14ac:dyDescent="0.3"/>
    <row r="54" spans="8:62" x14ac:dyDescent="0.3"/>
    <row r="55" spans="8:62" x14ac:dyDescent="0.3"/>
    <row r="56" spans="8:62" x14ac:dyDescent="0.3"/>
    <row r="57" spans="8:62" x14ac:dyDescent="0.3"/>
    <row r="58" spans="8:62" x14ac:dyDescent="0.3"/>
    <row r="59" spans="8:62" x14ac:dyDescent="0.3"/>
    <row r="60" spans="8:62" x14ac:dyDescent="0.3"/>
    <row r="61" spans="8:62" x14ac:dyDescent="0.3"/>
    <row r="63" spans="8:62" hidden="1" x14ac:dyDescent="0.3"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</row>
    <row r="64" spans="8:62" hidden="1" x14ac:dyDescent="0.3"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</row>
    <row r="65" spans="8:62" hidden="1" x14ac:dyDescent="0.3"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</row>
    <row r="66" spans="8:62" hidden="1" x14ac:dyDescent="0.3"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</row>
    <row r="67" spans="8:62" hidden="1" x14ac:dyDescent="0.3"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</row>
    <row r="68" spans="8:62" hidden="1" x14ac:dyDescent="0.3"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</row>
    <row r="69" spans="8:62" hidden="1" x14ac:dyDescent="0.3"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</row>
    <row r="70" spans="8:62" hidden="1" x14ac:dyDescent="0.3"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</row>
    <row r="71" spans="8:62" hidden="1" x14ac:dyDescent="0.3"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</row>
    <row r="72" spans="8:62" hidden="1" x14ac:dyDescent="0.3"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</row>
    <row r="73" spans="8:62" hidden="1" x14ac:dyDescent="0.3"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</row>
    <row r="74" spans="8:62" hidden="1" x14ac:dyDescent="0.3"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</row>
    <row r="75" spans="8:62" hidden="1" x14ac:dyDescent="0.3"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</row>
    <row r="76" spans="8:62" hidden="1" x14ac:dyDescent="0.3"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</row>
    <row r="77" spans="8:62" hidden="1" x14ac:dyDescent="0.3"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</row>
    <row r="78" spans="8:62" hidden="1" x14ac:dyDescent="0.3"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</row>
    <row r="79" spans="8:62" hidden="1" x14ac:dyDescent="0.3"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</row>
    <row r="80" spans="8:62" hidden="1" x14ac:dyDescent="0.3"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</row>
    <row r="81" spans="8:62" hidden="1" x14ac:dyDescent="0.3"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</row>
    <row r="82" spans="8:62" hidden="1" x14ac:dyDescent="0.3"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</row>
    <row r="83" spans="8:62" hidden="1" x14ac:dyDescent="0.3"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</row>
    <row r="84" spans="8:62" hidden="1" x14ac:dyDescent="0.3"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</row>
    <row r="85" spans="8:62" hidden="1" x14ac:dyDescent="0.3"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</row>
    <row r="86" spans="8:62" hidden="1" x14ac:dyDescent="0.3"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</row>
    <row r="87" spans="8:62" hidden="1" x14ac:dyDescent="0.3"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</row>
    <row r="88" spans="8:62" hidden="1" x14ac:dyDescent="0.3"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</row>
    <row r="89" spans="8:62" hidden="1" x14ac:dyDescent="0.3"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</row>
    <row r="90" spans="8:62" hidden="1" x14ac:dyDescent="0.3"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</row>
    <row r="91" spans="8:62" hidden="1" x14ac:dyDescent="0.3"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</row>
    <row r="92" spans="8:62" hidden="1" x14ac:dyDescent="0.3"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</row>
    <row r="93" spans="8:62" hidden="1" x14ac:dyDescent="0.3"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</row>
    <row r="94" spans="8:62" hidden="1" x14ac:dyDescent="0.3"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</row>
    <row r="95" spans="8:62" hidden="1" x14ac:dyDescent="0.3"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</row>
    <row r="96" spans="8:62" hidden="1" x14ac:dyDescent="0.3"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</row>
    <row r="97" spans="8:62" hidden="1" x14ac:dyDescent="0.3"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</row>
    <row r="98" spans="8:62" hidden="1" x14ac:dyDescent="0.3"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</row>
    <row r="99" spans="8:62" hidden="1" x14ac:dyDescent="0.3"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</row>
    <row r="100" spans="8:62" hidden="1" x14ac:dyDescent="0.3"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</row>
    <row r="101" spans="8:62" hidden="1" x14ac:dyDescent="0.3"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</row>
    <row r="102" spans="8:62" hidden="1" x14ac:dyDescent="0.3"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</row>
    <row r="103" spans="8:62" hidden="1" x14ac:dyDescent="0.3"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</row>
    <row r="104" spans="8:62" hidden="1" x14ac:dyDescent="0.3"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</row>
    <row r="105" spans="8:62" hidden="1" x14ac:dyDescent="0.3"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</row>
    <row r="106" spans="8:62" hidden="1" x14ac:dyDescent="0.3"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AZ287"/>
  <sheetViews>
    <sheetView topLeftCell="J1" zoomScale="70" zoomScaleNormal="70" workbookViewId="0">
      <selection activeCell="N10" sqref="N10"/>
    </sheetView>
  </sheetViews>
  <sheetFormatPr defaultRowHeight="14.4" x14ac:dyDescent="0.3"/>
  <cols>
    <col min="1" max="1" width="18.6640625" bestFit="1" customWidth="1"/>
    <col min="2" max="2" width="22" style="3" bestFit="1" customWidth="1"/>
    <col min="4" max="4" width="18.6640625" bestFit="1" customWidth="1"/>
    <col min="5" max="5" width="26.6640625" bestFit="1" customWidth="1"/>
    <col min="7" max="7" width="18.6640625" bestFit="1" customWidth="1"/>
    <col min="8" max="8" width="20.109375" bestFit="1" customWidth="1"/>
    <col min="9" max="9" width="15.44140625" style="2" customWidth="1"/>
    <col min="10" max="10" width="18.6640625" bestFit="1" customWidth="1"/>
    <col min="11" max="11" width="20.109375" bestFit="1" customWidth="1"/>
    <col min="13" max="13" width="21.88671875" bestFit="1" customWidth="1"/>
    <col min="14" max="14" width="9.77734375" style="2" bestFit="1" customWidth="1"/>
    <col min="15" max="15" width="8.6640625" style="3" bestFit="1" customWidth="1"/>
    <col min="17" max="17" width="18.6640625" bestFit="1" customWidth="1"/>
    <col min="18" max="18" width="19.6640625" style="127" bestFit="1" customWidth="1"/>
    <col min="19" max="19" width="8.44140625" style="2" customWidth="1"/>
    <col min="20" max="20" width="18.6640625" bestFit="1" customWidth="1"/>
    <col min="21" max="21" width="20.5546875" style="125" bestFit="1" customWidth="1"/>
    <col min="22" max="22" width="11.6640625" style="2" customWidth="1"/>
    <col min="23" max="23" width="18.6640625" bestFit="1" customWidth="1"/>
    <col min="24" max="24" width="23" style="127" bestFit="1" customWidth="1"/>
    <col min="25" max="25" width="11.5546875" style="2" bestFit="1" customWidth="1"/>
    <col min="26" max="26" width="12.109375" style="2" customWidth="1"/>
    <col min="27" max="27" width="22.88671875" style="6" bestFit="1" customWidth="1"/>
    <col min="28" max="28" width="18.44140625" style="127" bestFit="1" customWidth="1"/>
    <col min="29" max="29" width="12.109375" style="2" customWidth="1"/>
    <col min="30" max="30" width="12.109375" style="3" customWidth="1"/>
    <col min="31" max="31" width="7" style="15" customWidth="1"/>
    <col min="32" max="32" width="7.33203125" style="15" customWidth="1"/>
    <col min="33" max="34" width="15" style="15" customWidth="1"/>
    <col min="35" max="35" width="19.33203125" style="145" customWidth="1"/>
    <col min="36" max="37" width="21.5546875" style="127" customWidth="1"/>
    <col min="38" max="38" width="18.5546875" style="145" customWidth="1"/>
    <col min="39" max="39" width="15.88671875" style="145" customWidth="1"/>
    <col min="40" max="40" width="23" customWidth="1"/>
    <col min="41" max="41" width="24" style="127" customWidth="1"/>
    <col min="42" max="42" width="15.44140625" style="3" customWidth="1"/>
    <col min="44" max="44" width="18.6640625" bestFit="1" customWidth="1"/>
    <col min="45" max="45" width="18.5546875" style="3" bestFit="1" customWidth="1"/>
    <col min="46" max="46" width="13.77734375" style="127" bestFit="1" customWidth="1"/>
    <col min="47" max="47" width="16.88671875" customWidth="1"/>
    <col min="48" max="48" width="21.88671875" bestFit="1" customWidth="1"/>
    <col min="49" max="49" width="20" bestFit="1" customWidth="1"/>
    <col min="50" max="50" width="14" customWidth="1"/>
    <col min="51" max="51" width="18.6640625" bestFit="1" customWidth="1"/>
    <col min="52" max="52" width="22.6640625" style="127" bestFit="1" customWidth="1"/>
    <col min="53" max="53" width="27.6640625" bestFit="1" customWidth="1"/>
  </cols>
  <sheetData>
    <row r="1" spans="1:52" ht="25.8" x14ac:dyDescent="0.5">
      <c r="A1" s="9" t="s">
        <v>38</v>
      </c>
      <c r="D1" s="9" t="s">
        <v>40</v>
      </c>
      <c r="E1" s="3"/>
      <c r="G1" s="9" t="s">
        <v>53</v>
      </c>
      <c r="H1" s="3"/>
      <c r="J1" s="9" t="s">
        <v>17</v>
      </c>
      <c r="K1" s="3"/>
      <c r="M1" s="9" t="s">
        <v>41</v>
      </c>
      <c r="N1" s="14"/>
      <c r="Q1" s="9" t="s">
        <v>43</v>
      </c>
      <c r="R1" s="126"/>
      <c r="S1" s="14"/>
      <c r="T1" s="9" t="s">
        <v>66</v>
      </c>
      <c r="V1" s="14"/>
      <c r="W1" s="9" t="s">
        <v>43</v>
      </c>
      <c r="X1" s="126"/>
      <c r="Y1" s="14"/>
      <c r="Z1" s="35"/>
      <c r="AA1" s="38"/>
      <c r="AB1" s="128" t="s">
        <v>65</v>
      </c>
      <c r="AC1" s="35"/>
      <c r="AE1" s="224" t="s">
        <v>54</v>
      </c>
      <c r="AF1" s="224"/>
      <c r="AG1" s="224"/>
      <c r="AH1" s="224"/>
      <c r="AI1" s="224"/>
      <c r="AJ1" s="224"/>
      <c r="AK1" s="224"/>
      <c r="AL1" s="224"/>
      <c r="AM1" s="224"/>
      <c r="AN1" s="224"/>
      <c r="AO1" s="224"/>
      <c r="AP1" s="224"/>
      <c r="AR1" s="9" t="s">
        <v>64</v>
      </c>
      <c r="AV1" s="9" t="s">
        <v>58</v>
      </c>
      <c r="AY1" s="9" t="s">
        <v>63</v>
      </c>
      <c r="AZ1" s="126"/>
    </row>
    <row r="2" spans="1:52" x14ac:dyDescent="0.3">
      <c r="A2" s="7" t="s">
        <v>7</v>
      </c>
      <c r="B2" t="s">
        <v>37</v>
      </c>
      <c r="G2" s="7" t="s">
        <v>7</v>
      </c>
      <c r="H2" t="s">
        <v>37</v>
      </c>
      <c r="J2" s="7" t="s">
        <v>7</v>
      </c>
      <c r="K2" t="s">
        <v>37</v>
      </c>
      <c r="M2" s="7" t="s">
        <v>7</v>
      </c>
      <c r="N2" t="s">
        <v>37</v>
      </c>
      <c r="Q2" s="7" t="s">
        <v>7</v>
      </c>
      <c r="R2" t="s">
        <v>37</v>
      </c>
      <c r="S2"/>
      <c r="T2" s="7" t="s">
        <v>7</v>
      </c>
      <c r="U2" t="s">
        <v>37</v>
      </c>
      <c r="V2"/>
      <c r="W2" s="7" t="s">
        <v>7</v>
      </c>
      <c r="X2" t="s">
        <v>37</v>
      </c>
      <c r="Y2"/>
      <c r="Z2" s="36"/>
      <c r="AA2" s="39" t="s">
        <v>12</v>
      </c>
      <c r="AB2" s="129">
        <f>VLOOKUP(AB1,T:U,2,0)</f>
        <v>177</v>
      </c>
      <c r="AC2" s="37"/>
      <c r="AE2" s="24" t="s">
        <v>30</v>
      </c>
      <c r="AF2" s="25" t="s">
        <v>29</v>
      </c>
      <c r="AG2" s="25" t="s">
        <v>46</v>
      </c>
      <c r="AH2" s="25" t="s">
        <v>47</v>
      </c>
      <c r="AI2" s="141" t="s">
        <v>48</v>
      </c>
      <c r="AJ2" s="141" t="s">
        <v>69</v>
      </c>
      <c r="AK2" s="141" t="s">
        <v>70</v>
      </c>
      <c r="AL2" s="141" t="s">
        <v>49</v>
      </c>
      <c r="AM2" s="141" t="s">
        <v>52</v>
      </c>
      <c r="AN2" s="25" t="s">
        <v>50</v>
      </c>
      <c r="AO2" s="141" t="s">
        <v>55</v>
      </c>
      <c r="AP2" s="26" t="s">
        <v>56</v>
      </c>
      <c r="AR2" s="7" t="s">
        <v>50</v>
      </c>
      <c r="AS2" t="s">
        <v>37</v>
      </c>
      <c r="AV2" s="7" t="s">
        <v>50</v>
      </c>
      <c r="AW2" t="s">
        <v>37</v>
      </c>
      <c r="AY2" s="7" t="s">
        <v>50</v>
      </c>
      <c r="AZ2" s="127" t="s">
        <v>37</v>
      </c>
    </row>
    <row r="3" spans="1:52" x14ac:dyDescent="0.3">
      <c r="A3" s="7" t="s">
        <v>9</v>
      </c>
      <c r="B3" t="s">
        <v>37</v>
      </c>
      <c r="D3" s="7" t="s">
        <v>7</v>
      </c>
      <c r="E3" t="s">
        <v>37</v>
      </c>
      <c r="G3" s="7" t="s">
        <v>9</v>
      </c>
      <c r="H3" t="s">
        <v>37</v>
      </c>
      <c r="J3" s="7" t="s">
        <v>9</v>
      </c>
      <c r="K3" t="s">
        <v>37</v>
      </c>
      <c r="M3" s="7" t="s">
        <v>9</v>
      </c>
      <c r="N3" t="s">
        <v>37</v>
      </c>
      <c r="Q3" s="7" t="s">
        <v>9</v>
      </c>
      <c r="R3" t="s">
        <v>37</v>
      </c>
      <c r="S3"/>
      <c r="T3" s="7" t="s">
        <v>9</v>
      </c>
      <c r="U3" t="s">
        <v>37</v>
      </c>
      <c r="V3"/>
      <c r="W3" s="7" t="s">
        <v>9</v>
      </c>
      <c r="X3" t="s">
        <v>37</v>
      </c>
      <c r="Y3"/>
      <c r="Z3" s="36"/>
      <c r="AA3" s="39" t="s">
        <v>67</v>
      </c>
      <c r="AB3" s="129">
        <f>$X$10</f>
        <v>4627</v>
      </c>
      <c r="AC3" s="36"/>
      <c r="AE3" s="16">
        <v>2020</v>
      </c>
      <c r="AF3" s="17">
        <v>9</v>
      </c>
      <c r="AG3" s="99">
        <f t="array" ref="AG3">MIN(IF('Diário de Operações'!$O$4:$O$9938=AF3,IF('Diário de Operações'!$P$4:$P$9938=Dinâmicas!AE3,'Diário de Operações'!$B$4:$B$9938)))</f>
        <v>0</v>
      </c>
      <c r="AH3" s="99">
        <f t="array" ref="AH3">MAX(IF('Diário de Operações'!$O$4:$O$9938=AF3,IF('Diário de Operações'!$P$4:$P$9938=Dinâmicas!AE3,'Diário de Operações'!$B$4:$B$9938)))</f>
        <v>0</v>
      </c>
      <c r="AI3" s="142" t="e">
        <f>VLOOKUP(AG3,'Diário de Operações'!B:T,18,0)</f>
        <v>#N/A</v>
      </c>
      <c r="AJ3" s="143">
        <f t="array" ref="AJ3">SUM(IF('Diário de Operações'!$O$4:$O$9938=Dinâmicas!AF3,IF('Diário de Operações'!$P$4:$P$9938=Dinâmicas!AE3,IF('Diário de Operações'!$U$4:$U$9938&gt;0,'Diário de Operações'!$U$4:$U$9938,"0"))))</f>
        <v>0</v>
      </c>
      <c r="AK3" s="143">
        <f t="array" ref="AK3">SUM(IF('Diário de Operações'!$O$4:$O$9938=Dinâmicas!AF3,IF('Diário de Operações'!$P$4:$P$9938=Dinâmicas!AE3,IF('Diário de Operações'!$U$4:$U$9938&lt;0,'Diário de Operações'!$U$4:$U$9938,"0"))))</f>
        <v>0</v>
      </c>
      <c r="AL3" s="142" t="e">
        <f>VLOOKUP(AH3,'Diário de Operações'!B:T,19,0)</f>
        <v>#N/A</v>
      </c>
      <c r="AM3" s="142" t="e">
        <f t="shared" ref="AM3:AM34" si="0">IF(AG2=AH2,AL3-(AJ3+AK3),(AL3-AI3)-(AJ3+AK3))</f>
        <v>#N/A</v>
      </c>
      <c r="AN3" s="18" t="e">
        <f t="shared" ref="AN3:AN18" si="1">(AM3/AI3)</f>
        <v>#N/A</v>
      </c>
      <c r="AO3" s="143">
        <f t="array" ref="AO3">MIN(IF('Diário de Operações'!$O$4:$O$9938=AF3,IF('Diário de Operações'!$P$4:$P$9938=Dinâmicas!AE3,'Diário de Operações'!$X$4:$X$9938)))</f>
        <v>0</v>
      </c>
      <c r="AP3" s="19" t="e">
        <f>((AM3/AO3)/100)*-1</f>
        <v>#N/A</v>
      </c>
      <c r="AS3"/>
    </row>
    <row r="4" spans="1:52" x14ac:dyDescent="0.3">
      <c r="A4" s="7" t="s">
        <v>8</v>
      </c>
      <c r="B4" t="s">
        <v>37</v>
      </c>
      <c r="D4" s="7" t="s">
        <v>9</v>
      </c>
      <c r="E4" t="s">
        <v>37</v>
      </c>
      <c r="G4" s="7" t="s">
        <v>8</v>
      </c>
      <c r="H4" t="s">
        <v>37</v>
      </c>
      <c r="J4" s="7" t="s">
        <v>8</v>
      </c>
      <c r="K4" t="s">
        <v>37</v>
      </c>
      <c r="M4" s="7" t="s">
        <v>8</v>
      </c>
      <c r="N4" t="s">
        <v>37</v>
      </c>
      <c r="Q4" s="7" t="s">
        <v>8</v>
      </c>
      <c r="R4" t="s">
        <v>37</v>
      </c>
      <c r="S4"/>
      <c r="T4" s="7" t="s">
        <v>8</v>
      </c>
      <c r="U4" t="s">
        <v>37</v>
      </c>
      <c r="V4"/>
      <c r="W4" s="7" t="s">
        <v>8</v>
      </c>
      <c r="X4" t="s">
        <v>37</v>
      </c>
      <c r="Y4"/>
      <c r="Z4" s="36"/>
      <c r="AA4" s="39"/>
      <c r="AB4" s="130"/>
      <c r="AC4" s="36"/>
      <c r="AE4" s="16">
        <v>2020</v>
      </c>
      <c r="AF4" s="17">
        <v>10</v>
      </c>
      <c r="AG4" s="99">
        <f t="array" ref="AG4">MIN(IF('Diário de Operações'!$O$4:$O$9938=AF4,IF('Diário de Operações'!$P$4:$P$9938=Dinâmicas!AE4,'Diário de Operações'!$B$4:$B$9938)))</f>
        <v>0</v>
      </c>
      <c r="AH4" s="99">
        <f t="array" ref="AH4">MAX(IF('Diário de Operações'!$O$4:$O$9938=AF4,IF('Diário de Operações'!$P$4:$P$9938=Dinâmicas!AE4,'Diário de Operações'!$B$4:$B$9938)))</f>
        <v>0</v>
      </c>
      <c r="AI4" s="142" t="e">
        <f>VLOOKUP(AG4,'Diário de Operações'!B:T,18,0)</f>
        <v>#N/A</v>
      </c>
      <c r="AJ4" s="143">
        <f t="array" ref="AJ4">SUM(IF('Diário de Operações'!$O$4:$O$9938=Dinâmicas!AF4,IF('Diário de Operações'!$P$4:$P$9938=Dinâmicas!AE4,IF('Diário de Operações'!$U$4:$U$9938&gt;0,'Diário de Operações'!$U$4:$U$9938,"0"))))</f>
        <v>0</v>
      </c>
      <c r="AK4" s="143">
        <f t="array" ref="AK4">SUM(IF('Diário de Operações'!$O$4:$O$9938=Dinâmicas!AF4,IF('Diário de Operações'!$P$4:$P$9938=Dinâmicas!AE4,IF('Diário de Operações'!$U$4:$U$9938&lt;0,'Diário de Operações'!$U$4:$U$9938,"0"))))</f>
        <v>0</v>
      </c>
      <c r="AL4" s="142" t="e">
        <f>VLOOKUP(AH4,'Diário de Operações'!B:T,19,0)</f>
        <v>#N/A</v>
      </c>
      <c r="AM4" s="142" t="e">
        <f t="shared" si="0"/>
        <v>#N/A</v>
      </c>
      <c r="AN4" s="18" t="e">
        <f t="shared" si="1"/>
        <v>#N/A</v>
      </c>
      <c r="AO4" s="143">
        <f t="array" ref="AO4">MIN(IF('Diário de Operações'!$O$4:$O$9938=AF4,IF('Diário de Operações'!$P$4:$P$9938=Dinâmicas!AE4,'Diário de Operações'!$X$4:$X$9938)))</f>
        <v>0</v>
      </c>
      <c r="AP4" s="19" t="e">
        <f t="shared" ref="AP4:AP67" si="2">((AM4/AO4)/100)*-1</f>
        <v>#N/A</v>
      </c>
      <c r="AR4" s="7" t="s">
        <v>35</v>
      </c>
      <c r="AS4" t="s">
        <v>170</v>
      </c>
      <c r="AT4" s="127" t="s">
        <v>169</v>
      </c>
      <c r="AV4" s="31" t="s">
        <v>35</v>
      </c>
      <c r="AW4" s="40" t="s">
        <v>57</v>
      </c>
      <c r="AY4" s="7" t="s">
        <v>35</v>
      </c>
      <c r="AZ4" s="127" t="s">
        <v>62</v>
      </c>
    </row>
    <row r="5" spans="1:52" x14ac:dyDescent="0.3">
      <c r="B5"/>
      <c r="Z5" s="37"/>
      <c r="AA5" s="39"/>
      <c r="AB5" s="130"/>
      <c r="AC5" s="37"/>
      <c r="AE5" s="16">
        <v>2020</v>
      </c>
      <c r="AF5" s="17">
        <v>11</v>
      </c>
      <c r="AG5" s="99">
        <f t="array" ref="AG5">MIN(IF('Diário de Operações'!$O$4:$O$9938=AF5,IF('Diário de Operações'!$P$4:$P$9938=Dinâmicas!AE5,'Diário de Operações'!$B$4:$B$9938)))</f>
        <v>0</v>
      </c>
      <c r="AH5" s="99">
        <f t="array" ref="AH5">MAX(IF('Diário de Operações'!$O$4:$O$9938=AF5,IF('Diário de Operações'!$P$4:$P$9938=Dinâmicas!AE5,'Diário de Operações'!$B$4:$B$9938)))</f>
        <v>0</v>
      </c>
      <c r="AI5" s="142" t="e">
        <f>VLOOKUP(AG5,'Diário de Operações'!B:T,18,0)</f>
        <v>#N/A</v>
      </c>
      <c r="AJ5" s="143">
        <f t="array" ref="AJ5">SUM(IF('Diário de Operações'!$O$4:$O$9938=Dinâmicas!AF5,IF('Diário de Operações'!$P$4:$P$9938=Dinâmicas!AE5,IF('Diário de Operações'!$U$4:$U$9938&gt;0,'Diário de Operações'!$U$4:$U$9938,"0"))))</f>
        <v>0</v>
      </c>
      <c r="AK5" s="143">
        <f t="array" ref="AK5">SUM(IF('Diário de Operações'!$O$4:$O$9938=Dinâmicas!AF5,IF('Diário de Operações'!$P$4:$P$9938=Dinâmicas!AE5,IF('Diário de Operações'!$U$4:$U$9938&lt;0,'Diário de Operações'!$U$4:$U$9938,"0"))))</f>
        <v>0</v>
      </c>
      <c r="AL5" s="142" t="e">
        <f>VLOOKUP(AH5,'Diário de Operações'!B:T,19,0)</f>
        <v>#N/A</v>
      </c>
      <c r="AM5" s="142" t="e">
        <f t="shared" si="0"/>
        <v>#N/A</v>
      </c>
      <c r="AN5" s="18" t="e">
        <f t="shared" si="1"/>
        <v>#N/A</v>
      </c>
      <c r="AO5" s="143">
        <f t="array" ref="AO5">MIN(IF('Diário de Operações'!$O$4:$O$9938=AF5,IF('Diário de Operações'!$P$4:$P$9938=Dinâmicas!AE5,'Diário de Operações'!$X$4:$X$9938)))</f>
        <v>0</v>
      </c>
      <c r="AP5" s="19" t="e">
        <f t="shared" si="2"/>
        <v>#N/A</v>
      </c>
      <c r="AR5" s="8">
        <v>2021</v>
      </c>
      <c r="AS5" s="1">
        <v>5.8799999999999998E-2</v>
      </c>
      <c r="AT5" s="127">
        <v>277</v>
      </c>
      <c r="AU5" s="2"/>
      <c r="AV5" s="8">
        <v>2021</v>
      </c>
      <c r="AW5" s="1">
        <v>-1.4529914529914532E-3</v>
      </c>
      <c r="AY5" s="8">
        <v>2021</v>
      </c>
      <c r="AZ5" s="127">
        <v>5344</v>
      </c>
    </row>
    <row r="6" spans="1:52" x14ac:dyDescent="0.3">
      <c r="A6" s="7" t="s">
        <v>35</v>
      </c>
      <c r="B6" s="1" t="s">
        <v>34</v>
      </c>
      <c r="D6" s="7" t="s">
        <v>35</v>
      </c>
      <c r="E6" s="1" t="s">
        <v>39</v>
      </c>
      <c r="G6" s="7" t="s">
        <v>35</v>
      </c>
      <c r="H6" s="1" t="s">
        <v>173</v>
      </c>
      <c r="J6" s="7" t="s">
        <v>35</v>
      </c>
      <c r="K6" s="1" t="s">
        <v>173</v>
      </c>
      <c r="M6" s="30"/>
      <c r="N6" s="31" t="s">
        <v>61</v>
      </c>
      <c r="O6" s="30"/>
      <c r="Q6" s="7" t="s">
        <v>35</v>
      </c>
      <c r="R6" s="127" t="s">
        <v>45</v>
      </c>
      <c r="T6" s="7" t="s">
        <v>35</v>
      </c>
      <c r="U6" s="127" t="s">
        <v>42</v>
      </c>
      <c r="W6" s="7" t="s">
        <v>35</v>
      </c>
      <c r="X6" s="127" t="s">
        <v>68</v>
      </c>
      <c r="Y6"/>
      <c r="Z6" s="37"/>
      <c r="AA6" s="39"/>
      <c r="AB6" s="130"/>
      <c r="AC6" s="37"/>
      <c r="AD6"/>
      <c r="AE6" s="16">
        <v>2020</v>
      </c>
      <c r="AF6" s="17">
        <v>12</v>
      </c>
      <c r="AG6" s="99">
        <f t="array" ref="AG6">MIN(IF('Diário de Operações'!$O$4:$O$9938=AF6,IF('Diário de Operações'!$P$4:$P$9938=Dinâmicas!AE6,'Diário de Operações'!$B$4:$B$9938)))</f>
        <v>0</v>
      </c>
      <c r="AH6" s="99">
        <f t="array" ref="AH6">MAX(IF('Diário de Operações'!$O$4:$O$9938=AF6,IF('Diário de Operações'!$P$4:$P$9938=Dinâmicas!AE6,'Diário de Operações'!$B$4:$B$9938)))</f>
        <v>0</v>
      </c>
      <c r="AI6" s="142" t="e">
        <f>VLOOKUP(AG6,'Diário de Operações'!B:T,18,0)</f>
        <v>#N/A</v>
      </c>
      <c r="AJ6" s="143">
        <f t="array" ref="AJ6">SUM(IF('Diário de Operações'!$O$4:$O$9938=Dinâmicas!AF6,IF('Diário de Operações'!$P$4:$P$9938=Dinâmicas!AE6,IF('Diário de Operações'!$U$4:$U$9938&gt;0,'Diário de Operações'!$U$4:$U$9938,"0"))))</f>
        <v>0</v>
      </c>
      <c r="AK6" s="143">
        <f t="array" ref="AK6">SUM(IF('Diário de Operações'!$O$4:$O$9938=Dinâmicas!AF6,IF('Diário de Operações'!$P$4:$P$9938=Dinâmicas!AE6,IF('Diário de Operações'!$U$4:$U$9938&lt;0,'Diário de Operações'!$U$4:$U$9938,"0"))))</f>
        <v>0</v>
      </c>
      <c r="AL6" s="142" t="e">
        <f>VLOOKUP(AH6,'Diário de Operações'!B:T,19,0)</f>
        <v>#N/A</v>
      </c>
      <c r="AM6" s="142" t="e">
        <f t="shared" si="0"/>
        <v>#N/A</v>
      </c>
      <c r="AN6" s="18" t="e">
        <f t="shared" si="1"/>
        <v>#N/A</v>
      </c>
      <c r="AO6" s="143">
        <f t="array" ref="AO6">MIN(IF('Diário de Operações'!$O$4:$O$9938=AF6,IF('Diário de Operações'!$P$4:$P$9938=Dinâmicas!AE6,'Diário de Operações'!$X$4:$X$9938)))</f>
        <v>0</v>
      </c>
      <c r="AP6" s="19" t="e">
        <f t="shared" si="2"/>
        <v>#N/A</v>
      </c>
      <c r="AR6" s="27">
        <v>8</v>
      </c>
      <c r="AS6" s="1">
        <v>5.8799999999999998E-2</v>
      </c>
      <c r="AT6" s="127">
        <v>294</v>
      </c>
      <c r="AU6" s="2"/>
      <c r="AV6" s="27">
        <v>9</v>
      </c>
      <c r="AW6" s="1">
        <v>-1.4529914529914532E-3</v>
      </c>
      <c r="AY6" s="27">
        <v>8</v>
      </c>
      <c r="AZ6" s="127">
        <v>5344</v>
      </c>
    </row>
    <row r="7" spans="1:52" x14ac:dyDescent="0.3">
      <c r="A7" s="8" t="s">
        <v>3</v>
      </c>
      <c r="B7" s="1">
        <v>0.25</v>
      </c>
      <c r="D7" s="8" t="s">
        <v>0</v>
      </c>
      <c r="E7" s="1">
        <v>0.5</v>
      </c>
      <c r="G7" s="10">
        <v>2021</v>
      </c>
      <c r="H7" s="1">
        <v>2.231121281464531E-2</v>
      </c>
      <c r="J7" s="10">
        <v>1900</v>
      </c>
      <c r="K7" s="1">
        <v>0</v>
      </c>
      <c r="M7" s="31" t="s">
        <v>35</v>
      </c>
      <c r="N7" s="32" t="s">
        <v>185</v>
      </c>
      <c r="O7" s="33" t="s">
        <v>60</v>
      </c>
      <c r="Q7" s="10">
        <v>1900</v>
      </c>
      <c r="R7" s="127" t="e">
        <v>#VALUE!</v>
      </c>
      <c r="T7" s="10">
        <v>1900</v>
      </c>
      <c r="U7" s="127"/>
      <c r="W7" s="10">
        <v>2021</v>
      </c>
      <c r="X7" s="127">
        <v>20335</v>
      </c>
      <c r="Y7"/>
      <c r="AD7"/>
      <c r="AE7" s="16">
        <v>2021</v>
      </c>
      <c r="AF7" s="17">
        <v>1</v>
      </c>
      <c r="AG7" s="99">
        <f t="array" ref="AG7">MIN(IF('Diário de Operações'!$O$4:$O$9938=AF7,IF('Diário de Operações'!$P$4:$P$9938=Dinâmicas!AE7,'Diário de Operações'!$B$4:$B$9938)))</f>
        <v>0</v>
      </c>
      <c r="AH7" s="99">
        <f t="array" ref="AH7">MAX(IF('Diário de Operações'!$O$4:$O$9938=AF7,IF('Diário de Operações'!$P$4:$P$9938=Dinâmicas!AE7,'Diário de Operações'!$B$4:$B$9938)))</f>
        <v>0</v>
      </c>
      <c r="AI7" s="142" t="e">
        <f>VLOOKUP(AG7,'Diário de Operações'!B:T,18,0)</f>
        <v>#N/A</v>
      </c>
      <c r="AJ7" s="143">
        <f t="array" ref="AJ7">SUM(IF('Diário de Operações'!$O$4:$O$9938=Dinâmicas!AF7,IF('Diário de Operações'!$P$4:$P$9938=Dinâmicas!AE7,IF('Diário de Operações'!$U$4:$U$9938&gt;0,'Diário de Operações'!$U$4:$U$9938,"0"))))</f>
        <v>0</v>
      </c>
      <c r="AK7" s="143">
        <f t="array" ref="AK7">SUM(IF('Diário de Operações'!$O$4:$O$9938=Dinâmicas!AF7,IF('Diário de Operações'!$P$4:$P$9938=Dinâmicas!AE7,IF('Diário de Operações'!$U$4:$U$9938&lt;0,'Diário de Operações'!$U$4:$U$9938,"0"))))</f>
        <v>0</v>
      </c>
      <c r="AL7" s="142" t="e">
        <f>VLOOKUP(AH7,'Diário de Operações'!B:T,19,0)</f>
        <v>#N/A</v>
      </c>
      <c r="AM7" s="142" t="e">
        <f t="shared" si="0"/>
        <v>#N/A</v>
      </c>
      <c r="AN7" s="18" t="e">
        <f t="shared" si="1"/>
        <v>#N/A</v>
      </c>
      <c r="AO7" s="143">
        <f t="array" ref="AO7">MIN(IF('Diário de Operações'!$O$4:$O$9938=AF7,IF('Diário de Operações'!$P$4:$P$9938=Dinâmicas!AE7,'Diário de Operações'!$X$4:$X$9938)))</f>
        <v>0</v>
      </c>
      <c r="AP7" s="19" t="e">
        <f t="shared" si="2"/>
        <v>#N/A</v>
      </c>
      <c r="AR7" s="27">
        <v>9</v>
      </c>
      <c r="AS7" s="1">
        <v>-3.2418001525553013E-3</v>
      </c>
      <c r="AT7" s="127">
        <v>-17</v>
      </c>
      <c r="AU7" s="2"/>
      <c r="AV7" s="8" t="s">
        <v>36</v>
      </c>
      <c r="AW7" s="1">
        <v>-1.4529914529914532E-3</v>
      </c>
      <c r="AY7" s="27">
        <v>9</v>
      </c>
      <c r="AZ7" s="127">
        <v>4627</v>
      </c>
    </row>
    <row r="8" spans="1:52" x14ac:dyDescent="0.3">
      <c r="A8" s="8" t="s">
        <v>4</v>
      </c>
      <c r="B8" s="1">
        <v>0.25</v>
      </c>
      <c r="D8" s="8" t="s">
        <v>2</v>
      </c>
      <c r="E8" s="1">
        <v>0.5</v>
      </c>
      <c r="G8" s="11">
        <v>8</v>
      </c>
      <c r="H8" s="1">
        <v>0</v>
      </c>
      <c r="J8" s="11">
        <v>1</v>
      </c>
      <c r="K8" s="1">
        <v>0</v>
      </c>
      <c r="M8" s="10">
        <v>1900</v>
      </c>
      <c r="N8" s="34"/>
      <c r="O8" s="29" t="e">
        <v>#VALUE!</v>
      </c>
      <c r="Q8" s="11">
        <v>1</v>
      </c>
      <c r="R8" s="127" t="e">
        <v>#VALUE!</v>
      </c>
      <c r="T8" s="11">
        <v>1</v>
      </c>
      <c r="U8" s="127"/>
      <c r="W8" s="11">
        <v>9</v>
      </c>
      <c r="X8" s="127">
        <v>9754</v>
      </c>
      <c r="Y8"/>
      <c r="AD8"/>
      <c r="AE8" s="16">
        <v>2021</v>
      </c>
      <c r="AF8" s="17">
        <v>2</v>
      </c>
      <c r="AG8" s="99">
        <f t="array" ref="AG8">MIN(IF('Diário de Operações'!$O$4:$O$9938=AF8,IF('Diário de Operações'!$P$4:$P$9938=Dinâmicas!AE8,'Diário de Operações'!$B$4:$B$9938)))</f>
        <v>0</v>
      </c>
      <c r="AH8" s="99">
        <f t="array" ref="AH8">MAX(IF('Diário de Operações'!$O$4:$O$9938=AF8,IF('Diário de Operações'!$P$4:$P$9938=Dinâmicas!AE8,'Diário de Operações'!$B$4:$B$9938)))</f>
        <v>0</v>
      </c>
      <c r="AI8" s="142" t="e">
        <f>VLOOKUP(AG8,'Diário de Operações'!B:T,18,0)</f>
        <v>#N/A</v>
      </c>
      <c r="AJ8" s="143">
        <f t="array" ref="AJ8">SUM(IF('Diário de Operações'!$O$4:$O$9938=Dinâmicas!AF8,IF('Diário de Operações'!$P$4:$P$9938=Dinâmicas!AE8,IF('Diário de Operações'!$U$4:$U$9938&gt;0,'Diário de Operações'!$U$4:$U$9938,"0"))))</f>
        <v>0</v>
      </c>
      <c r="AK8" s="143">
        <f t="array" ref="AK8">SUM(IF('Diário de Operações'!$O$4:$O$9938=Dinâmicas!AF8,IF('Diário de Operações'!$P$4:$P$9938=Dinâmicas!AE8,IF('Diário de Operações'!$U$4:$U$9938&lt;0,'Diário de Operações'!$U$4:$U$9938,"0"))))</f>
        <v>0</v>
      </c>
      <c r="AL8" s="142" t="e">
        <f>VLOOKUP(AH8,'Diário de Operações'!B:T,19,0)</f>
        <v>#N/A</v>
      </c>
      <c r="AM8" s="142" t="e">
        <f t="shared" si="0"/>
        <v>#N/A</v>
      </c>
      <c r="AN8" s="18" t="e">
        <f t="shared" si="1"/>
        <v>#N/A</v>
      </c>
      <c r="AO8" s="143">
        <f t="array" ref="AO8">MIN(IF('Diário de Operações'!$O$4:$O$9938=AF8,IF('Diário de Operações'!$P$4:$P$9938=Dinâmicas!AE8,'Diário de Operações'!$X$4:$X$9938)))</f>
        <v>0</v>
      </c>
      <c r="AP8" s="19" t="e">
        <f t="shared" si="2"/>
        <v>#N/A</v>
      </c>
      <c r="AR8" s="8" t="s">
        <v>36</v>
      </c>
      <c r="AS8" s="1">
        <v>5.8799999999999998E-2</v>
      </c>
      <c r="AT8" s="127">
        <v>277</v>
      </c>
      <c r="AU8" s="2"/>
      <c r="AY8" s="8" t="s">
        <v>36</v>
      </c>
      <c r="AZ8" s="127">
        <v>5344</v>
      </c>
    </row>
    <row r="9" spans="1:52" x14ac:dyDescent="0.3">
      <c r="A9" s="8" t="s">
        <v>1</v>
      </c>
      <c r="B9" s="1">
        <v>0.5</v>
      </c>
      <c r="D9" s="8" t="s">
        <v>171</v>
      </c>
      <c r="E9" s="1">
        <v>0</v>
      </c>
      <c r="G9" s="12"/>
      <c r="H9" s="1">
        <v>0</v>
      </c>
      <c r="J9" s="12"/>
      <c r="K9" s="1">
        <v>0</v>
      </c>
      <c r="M9" s="27">
        <v>1</v>
      </c>
      <c r="N9" s="34"/>
      <c r="O9" s="29" t="e">
        <v>#VALUE!</v>
      </c>
      <c r="Q9" s="10">
        <v>2021</v>
      </c>
      <c r="R9" s="127">
        <v>5287</v>
      </c>
      <c r="T9" s="13">
        <v>0</v>
      </c>
      <c r="U9" s="127"/>
      <c r="W9" s="13">
        <v>2</v>
      </c>
      <c r="X9" s="127">
        <v>4627</v>
      </c>
      <c r="Y9"/>
      <c r="AD9"/>
      <c r="AE9" s="16">
        <v>2021</v>
      </c>
      <c r="AF9" s="17">
        <v>3</v>
      </c>
      <c r="AG9" s="99">
        <f t="array" ref="AG9">MIN(IF('Diário de Operações'!$O$4:$O$9938=AF9,IF('Diário de Operações'!$P$4:$P$9938=Dinâmicas!AE9,'Diário de Operações'!$B$4:$B$9938)))</f>
        <v>0</v>
      </c>
      <c r="AH9" s="99">
        <f t="array" ref="AH9">MAX(IF('Diário de Operações'!$O$4:$O$9938=AF9,IF('Diário de Operações'!$P$4:$P$9938=Dinâmicas!AE9,'Diário de Operações'!$B$4:$B$9938)))</f>
        <v>0</v>
      </c>
      <c r="AI9" s="142" t="e">
        <f>VLOOKUP(AG9,'Diário de Operações'!B:T,18,0)</f>
        <v>#N/A</v>
      </c>
      <c r="AJ9" s="143">
        <f t="array" ref="AJ9">SUM(IF('Diário de Operações'!$O$4:$O$9938=Dinâmicas!AF9,IF('Diário de Operações'!$P$4:$P$9938=Dinâmicas!AE9,IF('Diário de Operações'!$U$4:$U$9938&gt;0,'Diário de Operações'!$U$4:$U$9938,"0"))))</f>
        <v>0</v>
      </c>
      <c r="AK9" s="143">
        <f t="array" ref="AK9">SUM(IF('Diário de Operações'!$O$4:$O$9938=Dinâmicas!AF9,IF('Diário de Operações'!$P$4:$P$9938=Dinâmicas!AE9,IF('Diário de Operações'!$U$4:$U$9938&lt;0,'Diário de Operações'!$U$4:$U$9938,"0"))))</f>
        <v>0</v>
      </c>
      <c r="AL9" s="142" t="e">
        <f>VLOOKUP(AH9,'Diário de Operações'!B:T,19,0)</f>
        <v>#N/A</v>
      </c>
      <c r="AM9" s="142" t="e">
        <f t="shared" si="0"/>
        <v>#N/A</v>
      </c>
      <c r="AN9" s="18" t="e">
        <f t="shared" si="1"/>
        <v>#N/A</v>
      </c>
      <c r="AO9" s="143">
        <f t="array" ref="AO9">MIN(IF('Diário de Operações'!$O$4:$O$9938=AF9,IF('Diário de Operações'!$P$4:$P$9938=Dinâmicas!AE9,'Diário de Operações'!$X$4:$X$9938)))</f>
        <v>0</v>
      </c>
      <c r="AP9" s="19" t="e">
        <f t="shared" si="2"/>
        <v>#N/A</v>
      </c>
      <c r="AS9"/>
      <c r="AU9" s="1"/>
    </row>
    <row r="10" spans="1:52" x14ac:dyDescent="0.3">
      <c r="A10" s="8" t="s">
        <v>36</v>
      </c>
      <c r="B10" s="1">
        <v>1</v>
      </c>
      <c r="D10" s="8" t="s">
        <v>36</v>
      </c>
      <c r="E10" s="1">
        <v>1</v>
      </c>
      <c r="G10" s="11">
        <v>9</v>
      </c>
      <c r="H10" s="1">
        <v>2.231121281464531E-2</v>
      </c>
      <c r="J10" s="10">
        <v>2021</v>
      </c>
      <c r="K10" s="1">
        <v>2.231121281464531E-2</v>
      </c>
      <c r="M10" s="13">
        <v>0</v>
      </c>
      <c r="N10" s="34"/>
      <c r="O10" s="29" t="e">
        <v>#VALUE!</v>
      </c>
      <c r="Q10" s="11">
        <v>8</v>
      </c>
      <c r="R10" s="127">
        <v>5287</v>
      </c>
      <c r="T10" s="10">
        <v>2021</v>
      </c>
      <c r="U10" s="127">
        <v>177</v>
      </c>
      <c r="W10" s="124">
        <v>4</v>
      </c>
      <c r="X10" s="127">
        <v>4627</v>
      </c>
      <c r="Y10"/>
      <c r="AD10"/>
      <c r="AE10" s="16">
        <v>2021</v>
      </c>
      <c r="AF10" s="17">
        <v>4</v>
      </c>
      <c r="AG10" s="99">
        <f t="array" ref="AG10">MIN(IF('Diário de Operações'!$O$4:$O$9938=AF10,IF('Diário de Operações'!$P$4:$P$9938=Dinâmicas!AE10,'Diário de Operações'!$B$4:$B$9938)))</f>
        <v>0</v>
      </c>
      <c r="AH10" s="99">
        <f t="array" ref="AH10">MAX(IF('Diário de Operações'!$O$4:$O$9938=AF10,IF('Diário de Operações'!$P$4:$P$9938=Dinâmicas!AE10,'Diário de Operações'!$B$4:$B$9938)))</f>
        <v>0</v>
      </c>
      <c r="AI10" s="142" t="e">
        <f>VLOOKUP(AG10,'Diário de Operações'!B:T,18,0)</f>
        <v>#N/A</v>
      </c>
      <c r="AJ10" s="143">
        <f t="array" ref="AJ10">SUM(IF('Diário de Operações'!$O$4:$O$9938=Dinâmicas!AF10,IF('Diário de Operações'!$P$4:$P$9938=Dinâmicas!AE10,IF('Diário de Operações'!$U$4:$U$9938&gt;0,'Diário de Operações'!$U$4:$U$9938,"0"))))</f>
        <v>0</v>
      </c>
      <c r="AK10" s="143">
        <f t="array" ref="AK10">SUM(IF('Diário de Operações'!$O$4:$O$9938=Dinâmicas!AF10,IF('Diário de Operações'!$P$4:$P$9938=Dinâmicas!AE10,IF('Diário de Operações'!$U$4:$U$9938&lt;0,'Diário de Operações'!$U$4:$U$9938,"0"))))</f>
        <v>0</v>
      </c>
      <c r="AL10" s="142" t="e">
        <f>VLOOKUP(AH10,'Diário de Operações'!B:T,19,0)</f>
        <v>#N/A</v>
      </c>
      <c r="AM10" s="142" t="e">
        <f t="shared" si="0"/>
        <v>#N/A</v>
      </c>
      <c r="AN10" s="18" t="e">
        <f t="shared" si="1"/>
        <v>#N/A</v>
      </c>
      <c r="AO10" s="143">
        <f t="array" ref="AO10">MIN(IF('Diário de Operações'!$O$4:$O$9938=AF10,IF('Diário de Operações'!$P$4:$P$9938=Dinâmicas!AE10,'Diário de Operações'!$X$4:$X$9938)))</f>
        <v>0</v>
      </c>
      <c r="AP10" s="19" t="e">
        <f t="shared" si="2"/>
        <v>#N/A</v>
      </c>
      <c r="AS10"/>
      <c r="AU10" s="1"/>
    </row>
    <row r="11" spans="1:52" x14ac:dyDescent="0.3">
      <c r="G11" s="12">
        <v>1</v>
      </c>
      <c r="H11" s="1">
        <v>2.231121281464531E-2</v>
      </c>
      <c r="J11" s="11">
        <v>8</v>
      </c>
      <c r="K11" s="1">
        <v>0</v>
      </c>
      <c r="M11" s="10">
        <v>2021</v>
      </c>
      <c r="N11" s="34">
        <v>177</v>
      </c>
      <c r="O11" s="29">
        <v>3.586994852448841E-2</v>
      </c>
      <c r="Q11" s="11">
        <v>9</v>
      </c>
      <c r="R11" s="127">
        <v>5244</v>
      </c>
      <c r="T11" s="11">
        <v>8</v>
      </c>
      <c r="U11" s="127">
        <v>294</v>
      </c>
      <c r="W11" s="13">
        <v>1</v>
      </c>
      <c r="X11" s="127">
        <v>5127</v>
      </c>
      <c r="Y11"/>
      <c r="AD11"/>
      <c r="AE11" s="16">
        <v>2021</v>
      </c>
      <c r="AF11" s="17">
        <v>5</v>
      </c>
      <c r="AG11" s="99">
        <f t="array" ref="AG11">MIN(IF('Diário de Operações'!$O$4:$O$9938=AF11,IF('Diário de Operações'!$P$4:$P$9938=Dinâmicas!AE11,'Diário de Operações'!$B$4:$B$9938)))</f>
        <v>0</v>
      </c>
      <c r="AH11" s="99">
        <f t="array" ref="AH11">MAX(IF('Diário de Operações'!$O$4:$O$9938=AF11,IF('Diário de Operações'!$P$4:$P$9938=Dinâmicas!AE11,'Diário de Operações'!$B$4:$B$9938)))</f>
        <v>0</v>
      </c>
      <c r="AI11" s="142" t="e">
        <f>VLOOKUP(AG11,'Diário de Operações'!B:T,18,0)</f>
        <v>#N/A</v>
      </c>
      <c r="AJ11" s="143">
        <f t="array" ref="AJ11">SUM(IF('Diário de Operações'!$O$4:$O$9938=Dinâmicas!AF11,IF('Diário de Operações'!$P$4:$P$9938=Dinâmicas!AE11,IF('Diário de Operações'!$U$4:$U$9938&gt;0,'Diário de Operações'!$U$4:$U$9938,"0"))))</f>
        <v>0</v>
      </c>
      <c r="AK11" s="143">
        <f t="array" ref="AK11">SUM(IF('Diário de Operações'!$O$4:$O$9938=Dinâmicas!AF11,IF('Diário de Operações'!$P$4:$P$9938=Dinâmicas!AE11,IF('Diário de Operações'!$U$4:$U$9938&lt;0,'Diário de Operações'!$U$4:$U$9938,"0"))))</f>
        <v>0</v>
      </c>
      <c r="AL11" s="142" t="e">
        <f>VLOOKUP(AH11,'Diário de Operações'!B:T,19,0)</f>
        <v>#N/A</v>
      </c>
      <c r="AM11" s="142" t="e">
        <f t="shared" si="0"/>
        <v>#N/A</v>
      </c>
      <c r="AN11" s="18" t="e">
        <f t="shared" si="1"/>
        <v>#N/A</v>
      </c>
      <c r="AO11" s="143">
        <f t="array" ref="AO11">MIN(IF('Diário de Operações'!$O$4:$O$9938=AF11,IF('Diário de Operações'!$P$4:$P$9938=Dinâmicas!AE11,'Diário de Operações'!$X$4:$X$9938)))</f>
        <v>0</v>
      </c>
      <c r="AP11" s="19" t="e">
        <f t="shared" si="2"/>
        <v>#N/A</v>
      </c>
      <c r="AS11"/>
      <c r="AU11" s="1"/>
    </row>
    <row r="12" spans="1:52" x14ac:dyDescent="0.3">
      <c r="G12" s="10">
        <v>1900</v>
      </c>
      <c r="H12" s="1">
        <v>0</v>
      </c>
      <c r="J12" s="12"/>
      <c r="K12" s="1">
        <v>0</v>
      </c>
      <c r="M12" s="27">
        <v>8</v>
      </c>
      <c r="N12" s="34">
        <v>294</v>
      </c>
      <c r="O12" s="29">
        <v>5.8181161339133723E-2</v>
      </c>
      <c r="Q12" s="10" t="s">
        <v>36</v>
      </c>
      <c r="R12" s="127" t="e">
        <v>#VALUE!</v>
      </c>
      <c r="T12" s="13">
        <v>36</v>
      </c>
      <c r="U12" s="127">
        <v>294</v>
      </c>
      <c r="W12" s="124">
        <v>3</v>
      </c>
      <c r="X12" s="127">
        <v>5127</v>
      </c>
      <c r="Y12"/>
      <c r="AD12"/>
      <c r="AE12" s="16">
        <v>2021</v>
      </c>
      <c r="AF12" s="17">
        <v>6</v>
      </c>
      <c r="AG12" s="99">
        <f t="array" ref="AG12">MIN(IF('Diário de Operações'!$O$4:$O$9938=AF12,IF('Diário de Operações'!$P$4:$P$9938=Dinâmicas!AE12,'Diário de Operações'!$B$4:$B$9938)))</f>
        <v>0</v>
      </c>
      <c r="AH12" s="99">
        <f t="array" ref="AH12">MAX(IF('Diário de Operações'!$O$4:$O$9938=AF12,IF('Diário de Operações'!$P$4:$P$9938=Dinâmicas!AE12,'Diário de Operações'!$B$4:$B$9938)))</f>
        <v>0</v>
      </c>
      <c r="AI12" s="142" t="e">
        <f>VLOOKUP(AG12,'Diário de Operações'!B:T,18,0)</f>
        <v>#N/A</v>
      </c>
      <c r="AJ12" s="143">
        <f t="array" ref="AJ12">SUM(IF('Diário de Operações'!$O$4:$O$9938=Dinâmicas!AF12,IF('Diário de Operações'!$P$4:$P$9938=Dinâmicas!AE12,IF('Diário de Operações'!$U$4:$U$9938&gt;0,'Diário de Operações'!$U$4:$U$9938,"0"))))</f>
        <v>0</v>
      </c>
      <c r="AK12" s="143">
        <f t="array" ref="AK12">SUM(IF('Diário de Operações'!$O$4:$O$9938=Dinâmicas!AF12,IF('Diário de Operações'!$P$4:$P$9938=Dinâmicas!AE12,IF('Diário de Operações'!$U$4:$U$9938&lt;0,'Diário de Operações'!$U$4:$U$9938,"0"))))</f>
        <v>0</v>
      </c>
      <c r="AL12" s="142" t="e">
        <f>VLOOKUP(AH12,'Diário de Operações'!B:T,19,0)</f>
        <v>#N/A</v>
      </c>
      <c r="AM12" s="142" t="e">
        <f t="shared" si="0"/>
        <v>#N/A</v>
      </c>
      <c r="AN12" s="18" t="e">
        <f t="shared" si="1"/>
        <v>#N/A</v>
      </c>
      <c r="AO12" s="143">
        <f t="array" ref="AO12">MIN(IF('Diário de Operações'!$O$4:$O$9938=AF12,IF('Diário de Operações'!$P$4:$P$9938=Dinâmicas!AE12,'Diário de Operações'!$X$4:$X$9938)))</f>
        <v>0</v>
      </c>
      <c r="AP12" s="19" t="e">
        <f t="shared" si="2"/>
        <v>#N/A</v>
      </c>
      <c r="AS12"/>
    </row>
    <row r="13" spans="1:52" x14ac:dyDescent="0.3">
      <c r="G13" s="11">
        <v>1</v>
      </c>
      <c r="H13" s="1">
        <v>0</v>
      </c>
      <c r="J13" s="11">
        <v>9</v>
      </c>
      <c r="K13" s="1">
        <v>2.231121281464531E-2</v>
      </c>
      <c r="M13" s="13">
        <v>30</v>
      </c>
      <c r="N13" s="34">
        <v>237</v>
      </c>
      <c r="O13" s="29">
        <v>4.7399999999999998E-2</v>
      </c>
      <c r="T13" s="11">
        <v>9</v>
      </c>
      <c r="U13" s="127">
        <v>-117</v>
      </c>
      <c r="W13" s="11">
        <v>8</v>
      </c>
      <c r="X13" s="127">
        <v>10581</v>
      </c>
      <c r="Y13"/>
      <c r="AD13"/>
      <c r="AE13" s="16">
        <v>2021</v>
      </c>
      <c r="AF13" s="17">
        <v>7</v>
      </c>
      <c r="AG13" s="99">
        <f t="array" ref="AG13">MIN(IF('Diário de Operações'!$O$4:$O$9938=AF13,IF('Diário de Operações'!$P$4:$P$9938=Dinâmicas!AE13,'Diário de Operações'!$B$4:$B$9938)))</f>
        <v>0</v>
      </c>
      <c r="AH13" s="99">
        <f t="array" ref="AH13">MAX(IF('Diário de Operações'!$O$4:$O$9938=AF13,IF('Diário de Operações'!$P$4:$P$9938=Dinâmicas!AE13,'Diário de Operações'!$B$4:$B$9938)))</f>
        <v>0</v>
      </c>
      <c r="AI13" s="142" t="e">
        <f>VLOOKUP(AG13,'Diário de Operações'!B:T,18,0)</f>
        <v>#N/A</v>
      </c>
      <c r="AJ13" s="143">
        <f t="array" ref="AJ13">SUM(IF('Diário de Operações'!$O$4:$O$9938=Dinâmicas!AF13,IF('Diário de Operações'!$P$4:$P$9938=Dinâmicas!AE13,IF('Diário de Operações'!$U$4:$U$9938&gt;0,'Diário de Operações'!$U$4:$U$9938,"0"))))</f>
        <v>0</v>
      </c>
      <c r="AK13" s="143">
        <f t="array" ref="AK13">SUM(IF('Diário de Operações'!$O$4:$O$9938=Dinâmicas!AF13,IF('Diário de Operações'!$P$4:$P$9938=Dinâmicas!AE13,IF('Diário de Operações'!$U$4:$U$9938&lt;0,'Diário de Operações'!$U$4:$U$9938,"0"))))</f>
        <v>0</v>
      </c>
      <c r="AL13" s="142" t="e">
        <f>VLOOKUP(AH13,'Diário de Operações'!B:T,19,0)</f>
        <v>#N/A</v>
      </c>
      <c r="AM13" s="142" t="e">
        <f t="shared" si="0"/>
        <v>#N/A</v>
      </c>
      <c r="AN13" s="18" t="e">
        <f t="shared" si="1"/>
        <v>#N/A</v>
      </c>
      <c r="AO13" s="143">
        <f t="array" ref="AO13">MIN(IF('Diário de Operações'!$O$4:$O$9938=AF13,IF('Diário de Operações'!$P$4:$P$9938=Dinâmicas!AE13,'Diário de Operações'!$X$4:$X$9938)))</f>
        <v>0</v>
      </c>
      <c r="AP13" s="19" t="e">
        <f t="shared" si="2"/>
        <v>#N/A</v>
      </c>
      <c r="AS13"/>
    </row>
    <row r="14" spans="1:52" x14ac:dyDescent="0.3">
      <c r="G14" s="12"/>
      <c r="H14" s="1">
        <v>0</v>
      </c>
      <c r="J14" s="12">
        <v>1</v>
      </c>
      <c r="K14" s="1">
        <v>2.231121281464531E-2</v>
      </c>
      <c r="M14" s="13">
        <v>31</v>
      </c>
      <c r="N14" s="34">
        <v>57</v>
      </c>
      <c r="O14" s="29">
        <v>1.0781161339133724E-2</v>
      </c>
      <c r="S14"/>
      <c r="T14" s="13">
        <v>36</v>
      </c>
      <c r="U14" s="127">
        <v>-117</v>
      </c>
      <c r="W14" s="13">
        <v>31</v>
      </c>
      <c r="X14" s="127">
        <v>5344</v>
      </c>
      <c r="Y14"/>
      <c r="AD14"/>
      <c r="AE14" s="16">
        <v>2021</v>
      </c>
      <c r="AF14" s="17">
        <v>8</v>
      </c>
      <c r="AG14" s="99">
        <f t="array" ref="AG14">MIN(IF('Diário de Operações'!$O$4:$O$9938=AF14,IF('Diário de Operações'!$P$4:$P$9938=Dinâmicas!AE14,'Diário de Operações'!$B$4:$B$9938)))</f>
        <v>44438</v>
      </c>
      <c r="AH14" s="99">
        <f t="array" ref="AH14">MAX(IF('Diário de Operações'!$O$4:$O$9938=AF14,IF('Diário de Operações'!$P$4:$P$9938=Dinâmicas!AE14,'Diário de Operações'!$B$4:$B$9938)))</f>
        <v>44439</v>
      </c>
      <c r="AI14" s="142">
        <f>VLOOKUP(AG14,'Diário de Operações'!B:T,18,0)</f>
        <v>5000</v>
      </c>
      <c r="AJ14" s="143">
        <f t="array" ref="AJ14">SUM(IF('Diário de Operações'!$O$4:$O$9938=Dinâmicas!AF14,IF('Diário de Operações'!$P$4:$P$9938=Dinâmicas!AE14,IF('Diário de Operações'!$U$4:$U$9938&gt;0,'Diário de Operações'!$U$4:$U$9938,"0"))))</f>
        <v>5050</v>
      </c>
      <c r="AK14" s="143">
        <f t="array" ref="AK14">SUM(IF('Diário de Operações'!$O$4:$O$9938=Dinâmicas!AF14,IF('Diário de Operações'!$P$4:$P$9938=Dinâmicas!AE14,IF('Diário de Operações'!$U$4:$U$9938&lt;0,'Diário de Operações'!$U$4:$U$9938,"0"))))</f>
        <v>0</v>
      </c>
      <c r="AL14" s="142">
        <f>VLOOKUP(AH14,'Diário de Operações'!B:T,19,0)</f>
        <v>5344</v>
      </c>
      <c r="AM14" s="142">
        <f t="shared" si="0"/>
        <v>294</v>
      </c>
      <c r="AN14" s="18">
        <f t="shared" si="1"/>
        <v>5.8799999999999998E-2</v>
      </c>
      <c r="AO14" s="143">
        <f t="array" ref="AO14">MIN(IF('Diário de Operações'!$O$4:$O$9938=AF14,IF('Diário de Operações'!$P$4:$P$9938=Dinâmicas!AE14,'Diário de Operações'!$X$4:$X$9938)))</f>
        <v>0</v>
      </c>
      <c r="AP14" s="19" t="e">
        <f t="shared" si="2"/>
        <v>#DIV/0!</v>
      </c>
      <c r="AS14"/>
    </row>
    <row r="15" spans="1:52" x14ac:dyDescent="0.3">
      <c r="G15" s="10" t="s">
        <v>36</v>
      </c>
      <c r="H15" s="1">
        <v>2.231121281464531E-2</v>
      </c>
      <c r="J15" s="12"/>
      <c r="K15" s="1">
        <v>0</v>
      </c>
      <c r="M15" s="27">
        <v>9</v>
      </c>
      <c r="N15" s="34">
        <v>-117</v>
      </c>
      <c r="O15" s="29">
        <v>-2.231121281464531E-2</v>
      </c>
      <c r="S15"/>
      <c r="T15" s="10" t="s">
        <v>65</v>
      </c>
      <c r="U15" s="127">
        <v>177</v>
      </c>
      <c r="W15" s="124">
        <v>2</v>
      </c>
      <c r="X15" s="127">
        <v>5344</v>
      </c>
      <c r="AD15"/>
      <c r="AE15" s="16">
        <v>2021</v>
      </c>
      <c r="AF15" s="17">
        <v>9</v>
      </c>
      <c r="AG15" s="99">
        <f t="array" ref="AG15">MIN(IF('Diário de Operações'!$O$4:$O$9938=AF15,IF('Diário de Operações'!$P$4:$P$9938=Dinâmicas!AE15,'Diário de Operações'!$B$4:$B$9938)))</f>
        <v>44440</v>
      </c>
      <c r="AH15" s="99">
        <f t="array" ref="AH15">MAX(IF('Diário de Operações'!$O$4:$O$9938=AF15,IF('Diário de Operações'!$P$4:$P$9938=Dinâmicas!AE15,'Diário de Operações'!$B$4:$B$9938)))</f>
        <v>44441</v>
      </c>
      <c r="AI15" s="142">
        <f>VLOOKUP(AG15,'Diário de Operações'!B:T,18,0)</f>
        <v>5244</v>
      </c>
      <c r="AJ15" s="143">
        <f t="array" ref="AJ15">SUM(IF('Diário de Operações'!$O$4:$O$9938=Dinâmicas!AF15,IF('Diário de Operações'!$P$4:$P$9938=Dinâmicas!AE15,IF('Diário de Operações'!$U$4:$U$9938&gt;0,'Diário de Operações'!$U$4:$U$9938,"0"))))</f>
        <v>0</v>
      </c>
      <c r="AK15" s="143">
        <f t="array" ref="AK15">SUM(IF('Diário de Operações'!$O$4:$O$9938=Dinâmicas!AF15,IF('Diário de Operações'!$P$4:$P$9938=Dinâmicas!AE15,IF('Diário de Operações'!$U$4:$U$9938&lt;0,'Diário de Operações'!$U$4:$U$9938,"0"))))</f>
        <v>-600</v>
      </c>
      <c r="AL15" s="142">
        <f>VLOOKUP(AH15,'Diário de Operações'!B:T,19,0)</f>
        <v>4627</v>
      </c>
      <c r="AM15" s="142">
        <f t="shared" si="0"/>
        <v>-17</v>
      </c>
      <c r="AN15" s="18">
        <f t="shared" si="1"/>
        <v>-3.2418001525553013E-3</v>
      </c>
      <c r="AO15" s="143">
        <f t="array" ref="AO15">MIN(IF('Diário de Operações'!$O$4:$O$9938=AF15,IF('Diário de Operações'!$P$4:$P$9938=Dinâmicas!AE15,'Diário de Operações'!$X$4:$X$9938)))</f>
        <v>-117</v>
      </c>
      <c r="AP15" s="19">
        <f t="shared" si="2"/>
        <v>-1.4529914529914532E-3</v>
      </c>
      <c r="AS15"/>
    </row>
    <row r="16" spans="1:52" x14ac:dyDescent="0.3">
      <c r="J16" s="10" t="s">
        <v>36</v>
      </c>
      <c r="K16" s="1">
        <v>2.231121281464531E-2</v>
      </c>
      <c r="M16" s="13">
        <v>1</v>
      </c>
      <c r="N16" s="34">
        <v>-117</v>
      </c>
      <c r="O16" s="29">
        <v>-2.231121281464531E-2</v>
      </c>
      <c r="S16"/>
      <c r="W16" s="13">
        <v>30</v>
      </c>
      <c r="X16" s="127">
        <v>5237</v>
      </c>
      <c r="AD16"/>
      <c r="AE16" s="16">
        <v>2021</v>
      </c>
      <c r="AF16" s="17">
        <v>10</v>
      </c>
      <c r="AG16" s="99">
        <f t="array" ref="AG16">MIN(IF('Diário de Operações'!$O$4:$O$9938=AF16,IF('Diário de Operações'!$P$4:$P$9938=Dinâmicas!AE16,'Diário de Operações'!$B$4:$B$9938)))</f>
        <v>0</v>
      </c>
      <c r="AH16" s="99">
        <f t="array" ref="AH16">MAX(IF('Diário de Operações'!$O$4:$O$9938=AF16,IF('Diário de Operações'!$P$4:$P$9938=Dinâmicas!AE16,'Diário de Operações'!$B$4:$B$9938)))</f>
        <v>0</v>
      </c>
      <c r="AI16" s="142" t="e">
        <f>VLOOKUP(AG16,'Diário de Operações'!B:T,18,0)</f>
        <v>#N/A</v>
      </c>
      <c r="AJ16" s="143">
        <f t="array" ref="AJ16">SUM(IF('Diário de Operações'!$O$4:$O$9938=Dinâmicas!AF16,IF('Diário de Operações'!$P$4:$P$9938=Dinâmicas!AE16,IF('Diário de Operações'!$U$4:$U$9938&gt;0,'Diário de Operações'!$U$4:$U$9938,"0"))))</f>
        <v>0</v>
      </c>
      <c r="AK16" s="143">
        <f t="array" ref="AK16">SUM(IF('Diário de Operações'!$O$4:$O$9938=Dinâmicas!AF16,IF('Diário de Operações'!$P$4:$P$9938=Dinâmicas!AE16,IF('Diário de Operações'!$U$4:$U$9938&lt;0,'Diário de Operações'!$U$4:$U$9938,"0"))))</f>
        <v>0</v>
      </c>
      <c r="AL16" s="142" t="e">
        <f>VLOOKUP(AH16,'Diário de Operações'!B:T,19,0)</f>
        <v>#N/A</v>
      </c>
      <c r="AM16" s="142" t="e">
        <f t="shared" si="0"/>
        <v>#N/A</v>
      </c>
      <c r="AN16" s="18" t="e">
        <f t="shared" si="1"/>
        <v>#N/A</v>
      </c>
      <c r="AO16" s="143">
        <f t="array" ref="AO16">MIN(IF('Diário de Operações'!$O$4:$O$9938=AF16,IF('Diário de Operações'!$P$4:$P$9938=Dinâmicas!AE16,'Diário de Operações'!$X$4:$X$9938)))</f>
        <v>0</v>
      </c>
      <c r="AP16" s="19" t="e">
        <f t="shared" si="2"/>
        <v>#N/A</v>
      </c>
      <c r="AS16"/>
    </row>
    <row r="17" spans="13:45" x14ac:dyDescent="0.3">
      <c r="M17" s="13">
        <v>2</v>
      </c>
      <c r="N17" s="34">
        <v>0</v>
      </c>
      <c r="O17" s="29">
        <v>0</v>
      </c>
      <c r="S17"/>
      <c r="W17" s="124">
        <v>1</v>
      </c>
      <c r="X17" s="127">
        <v>5237</v>
      </c>
      <c r="AD17"/>
      <c r="AE17" s="16">
        <v>2021</v>
      </c>
      <c r="AF17" s="17">
        <v>11</v>
      </c>
      <c r="AG17" s="99">
        <f t="array" ref="AG17">MIN(IF('Diário de Operações'!$O$4:$O$9938=AF17,IF('Diário de Operações'!$P$4:$P$9938=Dinâmicas!AE17,'Diário de Operações'!$B$4:$B$9938)))</f>
        <v>0</v>
      </c>
      <c r="AH17" s="99">
        <f t="array" ref="AH17">MAX(IF('Diário de Operações'!$O$4:$O$9938=AF17,IF('Diário de Operações'!$P$4:$P$9938=Dinâmicas!AE17,'Diário de Operações'!$B$4:$B$9938)))</f>
        <v>0</v>
      </c>
      <c r="AI17" s="142" t="e">
        <f>VLOOKUP(AG17,'Diário de Operações'!B:T,18,0)</f>
        <v>#N/A</v>
      </c>
      <c r="AJ17" s="143">
        <f t="array" ref="AJ17">SUM(IF('Diário de Operações'!$O$4:$O$9938=Dinâmicas!AF17,IF('Diário de Operações'!$P$4:$P$9938=Dinâmicas!AE17,IF('Diário de Operações'!$U$4:$U$9938&gt;0,'Diário de Operações'!$U$4:$U$9938,"0"))))</f>
        <v>0</v>
      </c>
      <c r="AK17" s="143">
        <f t="array" ref="AK17">SUM(IF('Diário de Operações'!$O$4:$O$9938=Dinâmicas!AF17,IF('Diário de Operações'!$P$4:$P$9938=Dinâmicas!AE17,IF('Diário de Operações'!$U$4:$U$9938&lt;0,'Diário de Operações'!$U$4:$U$9938,"0"))))</f>
        <v>0</v>
      </c>
      <c r="AL17" s="142" t="e">
        <f>VLOOKUP(AH17,'Diário de Operações'!B:T,19,0)</f>
        <v>#N/A</v>
      </c>
      <c r="AM17" s="142" t="e">
        <f t="shared" si="0"/>
        <v>#N/A</v>
      </c>
      <c r="AN17" s="18" t="e">
        <f t="shared" si="1"/>
        <v>#N/A</v>
      </c>
      <c r="AO17" s="143">
        <f t="array" ref="AO17">MIN(IF('Diário de Operações'!$O$4:$O$9938=AF17,IF('Diário de Operações'!$P$4:$P$9938=Dinâmicas!AE17,'Diário de Operações'!$X$4:$X$9938)))</f>
        <v>0</v>
      </c>
      <c r="AP17" s="19" t="e">
        <f t="shared" si="2"/>
        <v>#N/A</v>
      </c>
      <c r="AS17"/>
    </row>
    <row r="18" spans="13:45" x14ac:dyDescent="0.3">
      <c r="M18" s="10" t="s">
        <v>36</v>
      </c>
      <c r="N18" s="34">
        <v>177</v>
      </c>
      <c r="O18" s="29" t="e">
        <v>#VALUE!</v>
      </c>
      <c r="S18"/>
      <c r="W18" s="10">
        <v>1900</v>
      </c>
      <c r="X18" s="127" t="e">
        <v>#VALUE!</v>
      </c>
      <c r="AD18"/>
      <c r="AE18" s="16">
        <v>2021</v>
      </c>
      <c r="AF18" s="17">
        <v>12</v>
      </c>
      <c r="AG18" s="99">
        <f t="array" ref="AG18">MIN(IF('Diário de Operações'!$O$4:$O$9938=AF18,IF('Diário de Operações'!$P$4:$P$9938=Dinâmicas!AE18,'Diário de Operações'!$B$4:$B$9938)))</f>
        <v>0</v>
      </c>
      <c r="AH18" s="99">
        <f t="array" ref="AH18">MAX(IF('Diário de Operações'!$O$4:$O$9938=AF18,IF('Diário de Operações'!$P$4:$P$9938=Dinâmicas!AE18,'Diário de Operações'!$B$4:$B$9938)))</f>
        <v>0</v>
      </c>
      <c r="AI18" s="142" t="e">
        <f>VLOOKUP(AG18,'Diário de Operações'!B:T,18,0)</f>
        <v>#N/A</v>
      </c>
      <c r="AJ18" s="143">
        <f t="array" ref="AJ18">SUM(IF('Diário de Operações'!$O$4:$O$9938=Dinâmicas!AF18,IF('Diário de Operações'!$P$4:$P$9938=Dinâmicas!AE18,IF('Diário de Operações'!$U$4:$U$9938&gt;0,'Diário de Operações'!$U$4:$U$9938,"0"))))</f>
        <v>0</v>
      </c>
      <c r="AK18" s="143">
        <f t="array" ref="AK18">SUM(IF('Diário de Operações'!$O$4:$O$9938=Dinâmicas!AF18,IF('Diário de Operações'!$P$4:$P$9938=Dinâmicas!AE18,IF('Diário de Operações'!$U$4:$U$9938&lt;0,'Diário de Operações'!$U$4:$U$9938,"0"))))</f>
        <v>0</v>
      </c>
      <c r="AL18" s="142" t="e">
        <f>VLOOKUP(AH18,'Diário de Operações'!B:T,19,0)</f>
        <v>#N/A</v>
      </c>
      <c r="AM18" s="142" t="e">
        <f t="shared" si="0"/>
        <v>#N/A</v>
      </c>
      <c r="AN18" s="18" t="e">
        <f t="shared" si="1"/>
        <v>#N/A</v>
      </c>
      <c r="AO18" s="143">
        <f t="array" ref="AO18">MIN(IF('Diário de Operações'!$O$4:$O$9938=AF18,IF('Diário de Operações'!$P$4:$P$9938=Dinâmicas!AE18,'Diário de Operações'!$X$4:$X$9938)))</f>
        <v>0</v>
      </c>
      <c r="AP18" s="19" t="e">
        <f t="shared" si="2"/>
        <v>#N/A</v>
      </c>
      <c r="AS18"/>
    </row>
    <row r="19" spans="13:45" x14ac:dyDescent="0.3">
      <c r="N19"/>
      <c r="O19"/>
      <c r="S19"/>
      <c r="W19" s="11">
        <v>1</v>
      </c>
      <c r="X19" s="127" t="e">
        <v>#VALUE!</v>
      </c>
      <c r="AD19" s="6"/>
      <c r="AE19" s="16">
        <v>2022</v>
      </c>
      <c r="AF19" s="17">
        <v>1</v>
      </c>
      <c r="AG19" s="99">
        <f t="array" ref="AG19">MIN(IF('Diário de Operações'!$O$4:$O$9938=AF19,IF('Diário de Operações'!$P$4:$P$9938=Dinâmicas!AE19,'Diário de Operações'!$B$4:$B$9938)))</f>
        <v>0</v>
      </c>
      <c r="AH19" s="99">
        <f t="array" ref="AH19">MAX(IF('Diário de Operações'!$O$4:$O$9938=AF19,IF('Diário de Operações'!$P$4:$P$9938=Dinâmicas!AE19,'Diário de Operações'!$B$4:$B$9938)))</f>
        <v>0</v>
      </c>
      <c r="AI19" s="142" t="e">
        <f>VLOOKUP(AG19,'Diário de Operações'!B:T,18,0)</f>
        <v>#N/A</v>
      </c>
      <c r="AJ19" s="143">
        <f t="array" ref="AJ19">SUM(IF('Diário de Operações'!$O$4:$O$9938=Dinâmicas!AF19,IF('Diário de Operações'!$P$4:$P$9938=Dinâmicas!AE19,IF('Diário de Operações'!$U$4:$U$9938&gt;0,'Diário de Operações'!$U$4:$U$9938,"0"))))</f>
        <v>0</v>
      </c>
      <c r="AK19" s="143">
        <f t="array" ref="AK19">SUM(IF('Diário de Operações'!$O$4:$O$9938=Dinâmicas!AF19,IF('Diário de Operações'!$P$4:$P$9938=Dinâmicas!AE19,IF('Diário de Operações'!$U$4:$U$9938&lt;0,'Diário de Operações'!$U$4:$U$9938,"0"))))</f>
        <v>0</v>
      </c>
      <c r="AL19" s="142" t="e">
        <f>VLOOKUP(AH19,'Diário de Operações'!B:T,19,0)</f>
        <v>#N/A</v>
      </c>
      <c r="AM19" s="142" t="e">
        <f t="shared" si="0"/>
        <v>#N/A</v>
      </c>
      <c r="AN19" s="18" t="e">
        <f t="shared" ref="AN19:AN82" si="3">(AM19/AI19)</f>
        <v>#N/A</v>
      </c>
      <c r="AO19" s="143">
        <f t="array" ref="AO19">MIN(IF('Diário de Operações'!$O$4:$O$9938=AF19,IF('Diário de Operações'!$P$4:$P$9938=Dinâmicas!AE19,'Diário de Operações'!$X$4:$X$9938)))</f>
        <v>0</v>
      </c>
      <c r="AP19" s="19" t="e">
        <f t="shared" si="2"/>
        <v>#N/A</v>
      </c>
      <c r="AS19"/>
    </row>
    <row r="20" spans="13:45" x14ac:dyDescent="0.3">
      <c r="N20"/>
      <c r="O20"/>
      <c r="S20"/>
      <c r="W20" s="13">
        <v>0</v>
      </c>
      <c r="X20" s="127" t="e">
        <v>#VALUE!</v>
      </c>
      <c r="AD20" s="6"/>
      <c r="AE20" s="16">
        <v>2022</v>
      </c>
      <c r="AF20" s="17">
        <v>2</v>
      </c>
      <c r="AG20" s="99">
        <f t="array" ref="AG20">MIN(IF('Diário de Operações'!$O$4:$O$9938=AF20,IF('Diário de Operações'!$P$4:$P$9938=Dinâmicas!AE20,'Diário de Operações'!$B$4:$B$9938)))</f>
        <v>0</v>
      </c>
      <c r="AH20" s="99">
        <f t="array" ref="AH20">MAX(IF('Diário de Operações'!$O$4:$O$9938=AF20,IF('Diário de Operações'!$P$4:$P$9938=Dinâmicas!AE20,'Diário de Operações'!$B$4:$B$9938)))</f>
        <v>0</v>
      </c>
      <c r="AI20" s="142" t="e">
        <f>VLOOKUP(AG20,'Diário de Operações'!B:T,18,0)</f>
        <v>#N/A</v>
      </c>
      <c r="AJ20" s="143">
        <f t="array" ref="AJ20">SUM(IF('Diário de Operações'!$O$4:$O$9938=Dinâmicas!AF20,IF('Diário de Operações'!$P$4:$P$9938=Dinâmicas!AE20,IF('Diário de Operações'!$U$4:$U$9938&gt;0,'Diário de Operações'!$U$4:$U$9938,"0"))))</f>
        <v>0</v>
      </c>
      <c r="AK20" s="143">
        <f t="array" ref="AK20">SUM(IF('Diário de Operações'!$O$4:$O$9938=Dinâmicas!AF20,IF('Diário de Operações'!$P$4:$P$9938=Dinâmicas!AE20,IF('Diário de Operações'!$U$4:$U$9938&lt;0,'Diário de Operações'!$U$4:$U$9938,"0"))))</f>
        <v>0</v>
      </c>
      <c r="AL20" s="142" t="e">
        <f>VLOOKUP(AH20,'Diário de Operações'!B:T,19,0)</f>
        <v>#N/A</v>
      </c>
      <c r="AM20" s="142" t="e">
        <f t="shared" si="0"/>
        <v>#N/A</v>
      </c>
      <c r="AN20" s="18" t="e">
        <f t="shared" si="3"/>
        <v>#N/A</v>
      </c>
      <c r="AO20" s="143">
        <f t="array" ref="AO20">MIN(IF('Diário de Operações'!$O$4:$O$9938=AF20,IF('Diário de Operações'!$P$4:$P$9938=Dinâmicas!AE20,'Diário de Operações'!$X$4:$X$9938)))</f>
        <v>0</v>
      </c>
      <c r="AP20" s="19" t="e">
        <f t="shared" si="2"/>
        <v>#N/A</v>
      </c>
      <c r="AS20"/>
    </row>
    <row r="21" spans="13:45" x14ac:dyDescent="0.3">
      <c r="N21"/>
      <c r="O21"/>
      <c r="S21"/>
      <c r="W21" s="124">
        <v>5</v>
      </c>
      <c r="X21" s="127" t="e">
        <v>#VALUE!</v>
      </c>
      <c r="AD21" s="6"/>
      <c r="AE21" s="16">
        <v>2022</v>
      </c>
      <c r="AF21" s="17">
        <v>3</v>
      </c>
      <c r="AG21" s="99">
        <f t="array" ref="AG21">MIN(IF('Diário de Operações'!$O$4:$O$9938=AF21,IF('Diário de Operações'!$P$4:$P$9938=Dinâmicas!AE21,'Diário de Operações'!$B$4:$B$9938)))</f>
        <v>0</v>
      </c>
      <c r="AH21" s="99">
        <f t="array" ref="AH21">MAX(IF('Diário de Operações'!$O$4:$O$9938=AF21,IF('Diário de Operações'!$P$4:$P$9938=Dinâmicas!AE21,'Diário de Operações'!$B$4:$B$9938)))</f>
        <v>0</v>
      </c>
      <c r="AI21" s="142" t="e">
        <f>VLOOKUP(AG21,'Diário de Operações'!B:T,18,0)</f>
        <v>#N/A</v>
      </c>
      <c r="AJ21" s="143">
        <f t="array" ref="AJ21">SUM(IF('Diário de Operações'!$O$4:$O$9938=Dinâmicas!AF21,IF('Diário de Operações'!$P$4:$P$9938=Dinâmicas!AE21,IF('Diário de Operações'!$U$4:$U$9938&gt;0,'Diário de Operações'!$U$4:$U$9938,"0"))))</f>
        <v>0</v>
      </c>
      <c r="AK21" s="143">
        <f t="array" ref="AK21">SUM(IF('Diário de Operações'!$O$4:$O$9938=Dinâmicas!AF21,IF('Diário de Operações'!$P$4:$P$9938=Dinâmicas!AE21,IF('Diário de Operações'!$U$4:$U$9938&lt;0,'Diário de Operações'!$U$4:$U$9938,"0"))))</f>
        <v>0</v>
      </c>
      <c r="AL21" s="142" t="e">
        <f>VLOOKUP(AH21,'Diário de Operações'!B:T,19,0)</f>
        <v>#N/A</v>
      </c>
      <c r="AM21" s="142" t="e">
        <f t="shared" si="0"/>
        <v>#N/A</v>
      </c>
      <c r="AN21" s="18" t="e">
        <f t="shared" si="3"/>
        <v>#N/A</v>
      </c>
      <c r="AO21" s="143">
        <f t="array" ref="AO21">MIN(IF('Diário de Operações'!$O$4:$O$9938=AF21,IF('Diário de Operações'!$P$4:$P$9938=Dinâmicas!AE21,'Diário de Operações'!$X$4:$X$9938)))</f>
        <v>0</v>
      </c>
      <c r="AP21" s="19" t="e">
        <f t="shared" si="2"/>
        <v>#N/A</v>
      </c>
      <c r="AS21"/>
    </row>
    <row r="22" spans="13:45" x14ac:dyDescent="0.3">
      <c r="N22"/>
      <c r="O22"/>
      <c r="S22"/>
      <c r="W22" s="10" t="s">
        <v>65</v>
      </c>
      <c r="X22" s="127" t="e">
        <v>#VALUE!</v>
      </c>
      <c r="AD22" s="28"/>
      <c r="AE22" s="16">
        <v>2022</v>
      </c>
      <c r="AF22" s="17">
        <v>4</v>
      </c>
      <c r="AG22" s="99">
        <f t="array" ref="AG22">MIN(IF('Diário de Operações'!$O$4:$O$9938=AF22,IF('Diário de Operações'!$P$4:$P$9938=Dinâmicas!AE22,'Diário de Operações'!$B$4:$B$9938)))</f>
        <v>0</v>
      </c>
      <c r="AH22" s="99">
        <f t="array" ref="AH22">MAX(IF('Diário de Operações'!$O$4:$O$9938=AF22,IF('Diário de Operações'!$P$4:$P$9938=Dinâmicas!AE22,'Diário de Operações'!$B$4:$B$9938)))</f>
        <v>0</v>
      </c>
      <c r="AI22" s="142" t="e">
        <f>VLOOKUP(AG22,'Diário de Operações'!B:T,18,0)</f>
        <v>#N/A</v>
      </c>
      <c r="AJ22" s="143">
        <f t="array" ref="AJ22">SUM(IF('Diário de Operações'!$O$4:$O$9938=Dinâmicas!AF22,IF('Diário de Operações'!$P$4:$P$9938=Dinâmicas!AE22,IF('Diário de Operações'!$U$4:$U$9938&gt;0,'Diário de Operações'!$U$4:$U$9938,"0"))))</f>
        <v>0</v>
      </c>
      <c r="AK22" s="143">
        <f t="array" ref="AK22">SUM(IF('Diário de Operações'!$O$4:$O$9938=Dinâmicas!AF22,IF('Diário de Operações'!$P$4:$P$9938=Dinâmicas!AE22,IF('Diário de Operações'!$U$4:$U$9938&lt;0,'Diário de Operações'!$U$4:$U$9938,"0"))))</f>
        <v>0</v>
      </c>
      <c r="AL22" s="142" t="e">
        <f>VLOOKUP(AH22,'Diário de Operações'!B:T,19,0)</f>
        <v>#N/A</v>
      </c>
      <c r="AM22" s="142" t="e">
        <f t="shared" si="0"/>
        <v>#N/A</v>
      </c>
      <c r="AN22" s="18" t="e">
        <f t="shared" si="3"/>
        <v>#N/A</v>
      </c>
      <c r="AO22" s="143">
        <f t="array" ref="AO22">MIN(IF('Diário de Operações'!$O$4:$O$9938=AF22,IF('Diário de Operações'!$P$4:$P$9938=Dinâmicas!AE22,'Diário de Operações'!$X$4:$X$9938)))</f>
        <v>0</v>
      </c>
      <c r="AP22" s="19" t="e">
        <f t="shared" si="2"/>
        <v>#N/A</v>
      </c>
      <c r="AS22"/>
    </row>
    <row r="23" spans="13:45" x14ac:dyDescent="0.3">
      <c r="N23"/>
      <c r="O23"/>
      <c r="S23"/>
      <c r="AB23" s="126"/>
      <c r="AD23" s="6"/>
      <c r="AE23" s="16">
        <v>2022</v>
      </c>
      <c r="AF23" s="17">
        <v>5</v>
      </c>
      <c r="AG23" s="99">
        <f t="array" ref="AG23">MIN(IF('Diário de Operações'!$O$4:$O$9938=AF23,IF('Diário de Operações'!$P$4:$P$9938=Dinâmicas!AE23,'Diário de Operações'!$B$4:$B$9938)))</f>
        <v>0</v>
      </c>
      <c r="AH23" s="99">
        <f t="array" ref="AH23">MAX(IF('Diário de Operações'!$O$4:$O$9938=AF23,IF('Diário de Operações'!$P$4:$P$9938=Dinâmicas!AE23,'Diário de Operações'!$B$4:$B$9938)))</f>
        <v>0</v>
      </c>
      <c r="AI23" s="142" t="e">
        <f>VLOOKUP(AG23,'Diário de Operações'!B:T,18,0)</f>
        <v>#N/A</v>
      </c>
      <c r="AJ23" s="143">
        <f t="array" ref="AJ23">SUM(IF('Diário de Operações'!$O$4:$O$9938=Dinâmicas!AF23,IF('Diário de Operações'!$P$4:$P$9938=Dinâmicas!AE23,IF('Diário de Operações'!$U$4:$U$9938&gt;0,'Diário de Operações'!$U$4:$U$9938,"0"))))</f>
        <v>0</v>
      </c>
      <c r="AK23" s="143">
        <f t="array" ref="AK23">SUM(IF('Diário de Operações'!$O$4:$O$9938=Dinâmicas!AF23,IF('Diário de Operações'!$P$4:$P$9938=Dinâmicas!AE23,IF('Diário de Operações'!$U$4:$U$9938&lt;0,'Diário de Operações'!$U$4:$U$9938,"0"))))</f>
        <v>0</v>
      </c>
      <c r="AL23" s="142" t="e">
        <f>VLOOKUP(AH23,'Diário de Operações'!B:T,19,0)</f>
        <v>#N/A</v>
      </c>
      <c r="AM23" s="142" t="e">
        <f t="shared" si="0"/>
        <v>#N/A</v>
      </c>
      <c r="AN23" s="18" t="e">
        <f t="shared" si="3"/>
        <v>#N/A</v>
      </c>
      <c r="AO23" s="143">
        <f t="array" ref="AO23">MIN(IF('Diário de Operações'!$O$4:$O$9938=AF23,IF('Diário de Operações'!$P$4:$P$9938=Dinâmicas!AE23,'Diário de Operações'!$X$4:$X$9938)))</f>
        <v>0</v>
      </c>
      <c r="AP23" s="19" t="e">
        <f t="shared" si="2"/>
        <v>#N/A</v>
      </c>
      <c r="AS23"/>
    </row>
    <row r="24" spans="13:45" x14ac:dyDescent="0.3">
      <c r="N24"/>
      <c r="O24"/>
      <c r="S24"/>
      <c r="AD24" s="6"/>
      <c r="AE24" s="16">
        <v>2022</v>
      </c>
      <c r="AF24" s="17">
        <v>6</v>
      </c>
      <c r="AG24" s="99">
        <f t="array" ref="AG24">MIN(IF('Diário de Operações'!$O$4:$O$9938=AF24,IF('Diário de Operações'!$P$4:$P$9938=Dinâmicas!AE24,'Diário de Operações'!$B$4:$B$9938)))</f>
        <v>0</v>
      </c>
      <c r="AH24" s="99">
        <f t="array" ref="AH24">MAX(IF('Diário de Operações'!$O$4:$O$9938=AF24,IF('Diário de Operações'!$P$4:$P$9938=Dinâmicas!AE24,'Diário de Operações'!$B$4:$B$9938)))</f>
        <v>0</v>
      </c>
      <c r="AI24" s="142" t="e">
        <f>VLOOKUP(AG24,'Diário de Operações'!B:T,18,0)</f>
        <v>#N/A</v>
      </c>
      <c r="AJ24" s="143">
        <f t="array" ref="AJ24">SUM(IF('Diário de Operações'!$O$4:$O$9938=Dinâmicas!AF24,IF('Diário de Operações'!$P$4:$P$9938=Dinâmicas!AE24,IF('Diário de Operações'!$U$4:$U$9938&gt;0,'Diário de Operações'!$U$4:$U$9938,"0"))))</f>
        <v>0</v>
      </c>
      <c r="AK24" s="143">
        <f t="array" ref="AK24">SUM(IF('Diário de Operações'!$O$4:$O$9938=Dinâmicas!AF24,IF('Diário de Operações'!$P$4:$P$9938=Dinâmicas!AE24,IF('Diário de Operações'!$U$4:$U$9938&lt;0,'Diário de Operações'!$U$4:$U$9938,"0"))))</f>
        <v>0</v>
      </c>
      <c r="AL24" s="142" t="e">
        <f>VLOOKUP(AH24,'Diário de Operações'!B:T,19,0)</f>
        <v>#N/A</v>
      </c>
      <c r="AM24" s="142" t="e">
        <f t="shared" si="0"/>
        <v>#N/A</v>
      </c>
      <c r="AN24" s="18" t="e">
        <f t="shared" si="3"/>
        <v>#N/A</v>
      </c>
      <c r="AO24" s="143">
        <f t="array" ref="AO24">MIN(IF('Diário de Operações'!$O$4:$O$9938=AF24,IF('Diário de Operações'!$P$4:$P$9938=Dinâmicas!AE24,'Diário de Operações'!$X$4:$X$9938)))</f>
        <v>0</v>
      </c>
      <c r="AP24" s="19" t="e">
        <f t="shared" si="2"/>
        <v>#N/A</v>
      </c>
      <c r="AS24"/>
    </row>
    <row r="25" spans="13:45" x14ac:dyDescent="0.3">
      <c r="N25"/>
      <c r="O25"/>
      <c r="S25"/>
      <c r="AB25" s="126"/>
      <c r="AD25" s="6"/>
      <c r="AE25" s="16">
        <v>2022</v>
      </c>
      <c r="AF25" s="17">
        <v>7</v>
      </c>
      <c r="AG25" s="99">
        <f t="array" ref="AG25">MIN(IF('Diário de Operações'!$O$4:$O$9938=AF25,IF('Diário de Operações'!$P$4:$P$9938=Dinâmicas!AE25,'Diário de Operações'!$B$4:$B$9938)))</f>
        <v>0</v>
      </c>
      <c r="AH25" s="99">
        <f t="array" ref="AH25">MAX(IF('Diário de Operações'!$O$4:$O$9938=AF25,IF('Diário de Operações'!$P$4:$P$9938=Dinâmicas!AE25,'Diário de Operações'!$B$4:$B$9938)))</f>
        <v>0</v>
      </c>
      <c r="AI25" s="142" t="e">
        <f>VLOOKUP(AG25,'Diário de Operações'!B:T,18,0)</f>
        <v>#N/A</v>
      </c>
      <c r="AJ25" s="143">
        <f t="array" ref="AJ25">SUM(IF('Diário de Operações'!$O$4:$O$9938=Dinâmicas!AF25,IF('Diário de Operações'!$P$4:$P$9938=Dinâmicas!AE25,IF('Diário de Operações'!$U$4:$U$9938&gt;0,'Diário de Operações'!$U$4:$U$9938,"0"))))</f>
        <v>0</v>
      </c>
      <c r="AK25" s="143">
        <f t="array" ref="AK25">SUM(IF('Diário de Operações'!$O$4:$O$9938=Dinâmicas!AF25,IF('Diário de Operações'!$P$4:$P$9938=Dinâmicas!AE25,IF('Diário de Operações'!$U$4:$U$9938&lt;0,'Diário de Operações'!$U$4:$U$9938,"0"))))</f>
        <v>0</v>
      </c>
      <c r="AL25" s="142" t="e">
        <f>VLOOKUP(AH25,'Diário de Operações'!B:T,19,0)</f>
        <v>#N/A</v>
      </c>
      <c r="AM25" s="142" t="e">
        <f t="shared" si="0"/>
        <v>#N/A</v>
      </c>
      <c r="AN25" s="18" t="e">
        <f t="shared" si="3"/>
        <v>#N/A</v>
      </c>
      <c r="AO25" s="143">
        <f t="array" ref="AO25">MIN(IF('Diário de Operações'!$O$4:$O$9938=AF25,IF('Diário de Operações'!$P$4:$P$9938=Dinâmicas!AE25,'Diário de Operações'!$X$4:$X$9938)))</f>
        <v>0</v>
      </c>
      <c r="AP25" s="19" t="e">
        <f t="shared" si="2"/>
        <v>#N/A</v>
      </c>
      <c r="AS25"/>
    </row>
    <row r="26" spans="13:45" x14ac:dyDescent="0.3">
      <c r="N26"/>
      <c r="O26"/>
      <c r="S26"/>
      <c r="AD26" s="6"/>
      <c r="AE26" s="16">
        <v>2022</v>
      </c>
      <c r="AF26" s="17">
        <v>8</v>
      </c>
      <c r="AG26" s="99">
        <f t="array" ref="AG26">MIN(IF('Diário de Operações'!$O$4:$O$9938=AF26,IF('Diário de Operações'!$P$4:$P$9938=Dinâmicas!AE26,'Diário de Operações'!$B$4:$B$9938)))</f>
        <v>0</v>
      </c>
      <c r="AH26" s="99">
        <f t="array" ref="AH26">MAX(IF('Diário de Operações'!$O$4:$O$9938=AF26,IF('Diário de Operações'!$P$4:$P$9938=Dinâmicas!AE26,'Diário de Operações'!$B$4:$B$9938)))</f>
        <v>0</v>
      </c>
      <c r="AI26" s="142" t="e">
        <f>VLOOKUP(AG26,'Diário de Operações'!B:T,18,0)</f>
        <v>#N/A</v>
      </c>
      <c r="AJ26" s="143">
        <f t="array" ref="AJ26">SUM(IF('Diário de Operações'!$O$4:$O$9938=Dinâmicas!AF26,IF('Diário de Operações'!$P$4:$P$9938=Dinâmicas!AE26,IF('Diário de Operações'!$U$4:$U$9938&gt;0,'Diário de Operações'!$U$4:$U$9938,"0"))))</f>
        <v>0</v>
      </c>
      <c r="AK26" s="143">
        <f t="array" ref="AK26">SUM(IF('Diário de Operações'!$O$4:$O$9938=Dinâmicas!AF26,IF('Diário de Operações'!$P$4:$P$9938=Dinâmicas!AE26,IF('Diário de Operações'!$U$4:$U$9938&lt;0,'Diário de Operações'!$U$4:$U$9938,"0"))))</f>
        <v>0</v>
      </c>
      <c r="AL26" s="142" t="e">
        <f>VLOOKUP(AH26,'Diário de Operações'!B:T,19,0)</f>
        <v>#N/A</v>
      </c>
      <c r="AM26" s="142" t="e">
        <f t="shared" si="0"/>
        <v>#N/A</v>
      </c>
      <c r="AN26" s="18" t="e">
        <f t="shared" si="3"/>
        <v>#N/A</v>
      </c>
      <c r="AO26" s="143">
        <f t="array" ref="AO26">MIN(IF('Diário de Operações'!$O$4:$O$9938=AF26,IF('Diário de Operações'!$P$4:$P$9938=Dinâmicas!AE26,'Diário de Operações'!$X$4:$X$9938)))</f>
        <v>0</v>
      </c>
      <c r="AP26" s="19" t="e">
        <f t="shared" si="2"/>
        <v>#N/A</v>
      </c>
      <c r="AS26"/>
    </row>
    <row r="27" spans="13:45" x14ac:dyDescent="0.3">
      <c r="N27"/>
      <c r="O27"/>
      <c r="S27"/>
      <c r="AD27" s="6"/>
      <c r="AE27" s="16">
        <v>2022</v>
      </c>
      <c r="AF27" s="17">
        <v>9</v>
      </c>
      <c r="AG27" s="99">
        <f t="array" ref="AG27">MIN(IF('Diário de Operações'!$O$4:$O$9938=AF27,IF('Diário de Operações'!$P$4:$P$9938=Dinâmicas!AE27,'Diário de Operações'!$B$4:$B$9938)))</f>
        <v>0</v>
      </c>
      <c r="AH27" s="99">
        <f t="array" ref="AH27">MAX(IF('Diário de Operações'!$O$4:$O$9938=AF27,IF('Diário de Operações'!$P$4:$P$9938=Dinâmicas!AE27,'Diário de Operações'!$B$4:$B$9938)))</f>
        <v>0</v>
      </c>
      <c r="AI27" s="142" t="e">
        <f>VLOOKUP(AG27,'Diário de Operações'!B:T,18,0)</f>
        <v>#N/A</v>
      </c>
      <c r="AJ27" s="143">
        <f t="array" ref="AJ27">SUM(IF('Diário de Operações'!$O$4:$O$9938=Dinâmicas!AF27,IF('Diário de Operações'!$P$4:$P$9938=Dinâmicas!AE27,IF('Diário de Operações'!$U$4:$U$9938&gt;0,'Diário de Operações'!$U$4:$U$9938,"0"))))</f>
        <v>0</v>
      </c>
      <c r="AK27" s="143">
        <f t="array" ref="AK27">SUM(IF('Diário de Operações'!$O$4:$O$9938=Dinâmicas!AF27,IF('Diário de Operações'!$P$4:$P$9938=Dinâmicas!AE27,IF('Diário de Operações'!$U$4:$U$9938&lt;0,'Diário de Operações'!$U$4:$U$9938,"0"))))</f>
        <v>0</v>
      </c>
      <c r="AL27" s="142" t="e">
        <f>VLOOKUP(AH27,'Diário de Operações'!B:T,19,0)</f>
        <v>#N/A</v>
      </c>
      <c r="AM27" s="142" t="e">
        <f t="shared" si="0"/>
        <v>#N/A</v>
      </c>
      <c r="AN27" s="18" t="e">
        <f t="shared" si="3"/>
        <v>#N/A</v>
      </c>
      <c r="AO27" s="143">
        <f t="array" ref="AO27">MIN(IF('Diário de Operações'!$O$4:$O$9938=AF27,IF('Diário de Operações'!$P$4:$P$9938=Dinâmicas!AE27,'Diário de Operações'!$X$4:$X$9938)))</f>
        <v>0</v>
      </c>
      <c r="AP27" s="19" t="e">
        <f t="shared" si="2"/>
        <v>#N/A</v>
      </c>
      <c r="AS27"/>
    </row>
    <row r="28" spans="13:45" x14ac:dyDescent="0.3">
      <c r="N28"/>
      <c r="O28"/>
      <c r="S28"/>
      <c r="AD28"/>
      <c r="AE28" s="16">
        <v>2022</v>
      </c>
      <c r="AF28" s="17">
        <v>10</v>
      </c>
      <c r="AG28" s="99">
        <f t="array" ref="AG28">MIN(IF('Diário de Operações'!$O$4:$O$9938=AF28,IF('Diário de Operações'!$P$4:$P$9938=Dinâmicas!AE28,'Diário de Operações'!$B$4:$B$9938)))</f>
        <v>0</v>
      </c>
      <c r="AH28" s="99">
        <f t="array" ref="AH28">MAX(IF('Diário de Operações'!$O$4:$O$9938=AF28,IF('Diário de Operações'!$P$4:$P$9938=Dinâmicas!AE28,'Diário de Operações'!$B$4:$B$9938)))</f>
        <v>0</v>
      </c>
      <c r="AI28" s="142" t="e">
        <f>VLOOKUP(AG28,'Diário de Operações'!B:T,18,0)</f>
        <v>#N/A</v>
      </c>
      <c r="AJ28" s="143">
        <f t="array" ref="AJ28">SUM(IF('Diário de Operações'!$O$4:$O$9938=Dinâmicas!AF28,IF('Diário de Operações'!$P$4:$P$9938=Dinâmicas!AE28,IF('Diário de Operações'!$U$4:$U$9938&gt;0,'Diário de Operações'!$U$4:$U$9938,"0"))))</f>
        <v>0</v>
      </c>
      <c r="AK28" s="143">
        <f t="array" ref="AK28">SUM(IF('Diário de Operações'!$O$4:$O$9938=Dinâmicas!AF28,IF('Diário de Operações'!$P$4:$P$9938=Dinâmicas!AE28,IF('Diário de Operações'!$U$4:$U$9938&lt;0,'Diário de Operações'!$U$4:$U$9938,"0"))))</f>
        <v>0</v>
      </c>
      <c r="AL28" s="142" t="e">
        <f>VLOOKUP(AH28,'Diário de Operações'!B:T,19,0)</f>
        <v>#N/A</v>
      </c>
      <c r="AM28" s="142" t="e">
        <f t="shared" si="0"/>
        <v>#N/A</v>
      </c>
      <c r="AN28" s="18" t="e">
        <f t="shared" si="3"/>
        <v>#N/A</v>
      </c>
      <c r="AO28" s="143">
        <f t="array" ref="AO28">MIN(IF('Diário de Operações'!$O$4:$O$9938=AF28,IF('Diário de Operações'!$P$4:$P$9938=Dinâmicas!AE28,'Diário de Operações'!$X$4:$X$9938)))</f>
        <v>0</v>
      </c>
      <c r="AP28" s="19" t="e">
        <f t="shared" si="2"/>
        <v>#N/A</v>
      </c>
      <c r="AS28"/>
    </row>
    <row r="29" spans="13:45" x14ac:dyDescent="0.3">
      <c r="N29"/>
      <c r="O29"/>
      <c r="S29"/>
      <c r="V29"/>
      <c r="Y29"/>
      <c r="Z29"/>
      <c r="AC29"/>
      <c r="AD29"/>
      <c r="AE29" s="16">
        <v>2022</v>
      </c>
      <c r="AF29" s="17">
        <v>11</v>
      </c>
      <c r="AG29" s="99">
        <f t="array" ref="AG29">MIN(IF('Diário de Operações'!$O$4:$O$9938=AF29,IF('Diário de Operações'!$P$4:$P$9938=Dinâmicas!AE29,'Diário de Operações'!$B$4:$B$9938)))</f>
        <v>0</v>
      </c>
      <c r="AH29" s="99">
        <f t="array" ref="AH29">MAX(IF('Diário de Operações'!$O$4:$O$9938=AF29,IF('Diário de Operações'!$P$4:$P$9938=Dinâmicas!AE29,'Diário de Operações'!$B$4:$B$9938)))</f>
        <v>0</v>
      </c>
      <c r="AI29" s="142" t="e">
        <f>VLOOKUP(AG29,'Diário de Operações'!B:T,18,0)</f>
        <v>#N/A</v>
      </c>
      <c r="AJ29" s="143">
        <f t="array" ref="AJ29">SUM(IF('Diário de Operações'!$O$4:$O$9938=Dinâmicas!AF29,IF('Diário de Operações'!$P$4:$P$9938=Dinâmicas!AE29,IF('Diário de Operações'!$U$4:$U$9938&gt;0,'Diário de Operações'!$U$4:$U$9938,"0"))))</f>
        <v>0</v>
      </c>
      <c r="AK29" s="143">
        <f t="array" ref="AK29">SUM(IF('Diário de Operações'!$O$4:$O$9938=Dinâmicas!AF29,IF('Diário de Operações'!$P$4:$P$9938=Dinâmicas!AE29,IF('Diário de Operações'!$U$4:$U$9938&lt;0,'Diário de Operações'!$U$4:$U$9938,"0"))))</f>
        <v>0</v>
      </c>
      <c r="AL29" s="142" t="e">
        <f>VLOOKUP(AH29,'Diário de Operações'!B:T,19,0)</f>
        <v>#N/A</v>
      </c>
      <c r="AM29" s="142" t="e">
        <f t="shared" si="0"/>
        <v>#N/A</v>
      </c>
      <c r="AN29" s="18" t="e">
        <f t="shared" si="3"/>
        <v>#N/A</v>
      </c>
      <c r="AO29" s="143">
        <f t="array" ref="AO29">MIN(IF('Diário de Operações'!$O$4:$O$9938=AF29,IF('Diário de Operações'!$P$4:$P$9938=Dinâmicas!AE29,'Diário de Operações'!$X$4:$X$9938)))</f>
        <v>0</v>
      </c>
      <c r="AP29" s="19" t="e">
        <f t="shared" si="2"/>
        <v>#N/A</v>
      </c>
      <c r="AS29"/>
    </row>
    <row r="30" spans="13:45" x14ac:dyDescent="0.3">
      <c r="N30"/>
      <c r="O30"/>
      <c r="S30"/>
      <c r="V30"/>
      <c r="Y30"/>
      <c r="Z30"/>
      <c r="AC30"/>
      <c r="AD30"/>
      <c r="AE30" s="16">
        <v>2022</v>
      </c>
      <c r="AF30" s="17">
        <v>12</v>
      </c>
      <c r="AG30" s="99">
        <f t="array" ref="AG30">MIN(IF('Diário de Operações'!$O$4:$O$9938=AF30,IF('Diário de Operações'!$P$4:$P$9938=Dinâmicas!AE30,'Diário de Operações'!$B$4:$B$9938)))</f>
        <v>0</v>
      </c>
      <c r="AH30" s="99">
        <f t="array" ref="AH30">MAX(IF('Diário de Operações'!$O$4:$O$9938=AF30,IF('Diário de Operações'!$P$4:$P$9938=Dinâmicas!AE30,'Diário de Operações'!$B$4:$B$9938)))</f>
        <v>0</v>
      </c>
      <c r="AI30" s="142" t="e">
        <f>VLOOKUP(AG30,'Diário de Operações'!B:T,18,0)</f>
        <v>#N/A</v>
      </c>
      <c r="AJ30" s="143">
        <f t="array" ref="AJ30">SUM(IF('Diário de Operações'!$O$4:$O$9938=Dinâmicas!AF30,IF('Diário de Operações'!$P$4:$P$9938=Dinâmicas!AE30,IF('Diário de Operações'!$U$4:$U$9938&gt;0,'Diário de Operações'!$U$4:$U$9938,"0"))))</f>
        <v>0</v>
      </c>
      <c r="AK30" s="143">
        <f t="array" ref="AK30">SUM(IF('Diário de Operações'!$O$4:$O$9938=Dinâmicas!AF30,IF('Diário de Operações'!$P$4:$P$9938=Dinâmicas!AE30,IF('Diário de Operações'!$U$4:$U$9938&lt;0,'Diário de Operações'!$U$4:$U$9938,"0"))))</f>
        <v>0</v>
      </c>
      <c r="AL30" s="142" t="e">
        <f>VLOOKUP(AH30,'Diário de Operações'!B:T,19,0)</f>
        <v>#N/A</v>
      </c>
      <c r="AM30" s="142" t="e">
        <f t="shared" si="0"/>
        <v>#N/A</v>
      </c>
      <c r="AN30" s="18" t="e">
        <f t="shared" si="3"/>
        <v>#N/A</v>
      </c>
      <c r="AO30" s="143">
        <f t="array" ref="AO30">MIN(IF('Diário de Operações'!$O$4:$O$9938=AF30,IF('Diário de Operações'!$P$4:$P$9938=Dinâmicas!AE30,'Diário de Operações'!$X$4:$X$9938)))</f>
        <v>0</v>
      </c>
      <c r="AP30" s="19" t="e">
        <f t="shared" si="2"/>
        <v>#N/A</v>
      </c>
      <c r="AS30"/>
    </row>
    <row r="31" spans="13:45" x14ac:dyDescent="0.3">
      <c r="N31"/>
      <c r="O31"/>
      <c r="S31"/>
      <c r="V31"/>
      <c r="Y31"/>
      <c r="Z31"/>
      <c r="AC31"/>
      <c r="AD31"/>
      <c r="AE31" s="16">
        <v>2023</v>
      </c>
      <c r="AF31" s="17">
        <v>1</v>
      </c>
      <c r="AG31" s="99">
        <f t="array" ref="AG31">MIN(IF('Diário de Operações'!$O$4:$O$9938=AF31,IF('Diário de Operações'!$P$4:$P$9938=Dinâmicas!AE31,'Diário de Operações'!$B$4:$B$9938)))</f>
        <v>0</v>
      </c>
      <c r="AH31" s="99">
        <f t="array" ref="AH31">MAX(IF('Diário de Operações'!$O$4:$O$9938=AF31,IF('Diário de Operações'!$P$4:$P$9938=Dinâmicas!AE31,'Diário de Operações'!$B$4:$B$9938)))</f>
        <v>0</v>
      </c>
      <c r="AI31" s="142" t="e">
        <f>VLOOKUP(AG31,'Diário de Operações'!B:T,18,0)</f>
        <v>#N/A</v>
      </c>
      <c r="AJ31" s="143">
        <f t="array" ref="AJ31">SUM(IF('Diário de Operações'!$O$4:$O$9938=Dinâmicas!AF31,IF('Diário de Operações'!$P$4:$P$9938=Dinâmicas!AE31,IF('Diário de Operações'!$U$4:$U$9938&gt;0,'Diário de Operações'!$U$4:$U$9938,"0"))))</f>
        <v>0</v>
      </c>
      <c r="AK31" s="143">
        <f t="array" ref="AK31">SUM(IF('Diário de Operações'!$O$4:$O$9938=Dinâmicas!AF31,IF('Diário de Operações'!$P$4:$P$9938=Dinâmicas!AE31,IF('Diário de Operações'!$U$4:$U$9938&lt;0,'Diário de Operações'!$U$4:$U$9938,"0"))))</f>
        <v>0</v>
      </c>
      <c r="AL31" s="142" t="e">
        <f>VLOOKUP(AH31,'Diário de Operações'!B:T,19,0)</f>
        <v>#N/A</v>
      </c>
      <c r="AM31" s="142" t="e">
        <f t="shared" si="0"/>
        <v>#N/A</v>
      </c>
      <c r="AN31" s="18" t="e">
        <f t="shared" si="3"/>
        <v>#N/A</v>
      </c>
      <c r="AO31" s="143">
        <f t="array" ref="AO31">MIN(IF('Diário de Operações'!$O$4:$O$9938=AF31,IF('Diário de Operações'!$P$4:$P$9938=Dinâmicas!AE31,'Diário de Operações'!$X$4:$X$9938)))</f>
        <v>0</v>
      </c>
      <c r="AP31" s="19" t="e">
        <f t="shared" si="2"/>
        <v>#N/A</v>
      </c>
      <c r="AS31"/>
    </row>
    <row r="32" spans="13:45" x14ac:dyDescent="0.3">
      <c r="N32"/>
      <c r="O32"/>
      <c r="S32"/>
      <c r="V32"/>
      <c r="Y32"/>
      <c r="Z32"/>
      <c r="AC32"/>
      <c r="AD32"/>
      <c r="AE32" s="16">
        <v>2023</v>
      </c>
      <c r="AF32" s="17">
        <v>2</v>
      </c>
      <c r="AG32" s="99">
        <f t="array" ref="AG32">MIN(IF('Diário de Operações'!$O$4:$O$9938=AF32,IF('Diário de Operações'!$P$4:$P$9938=Dinâmicas!AE32,'Diário de Operações'!$B$4:$B$9938)))</f>
        <v>0</v>
      </c>
      <c r="AH32" s="99">
        <f t="array" ref="AH32">MAX(IF('Diário de Operações'!$O$4:$O$9938=AF32,IF('Diário de Operações'!$P$4:$P$9938=Dinâmicas!AE32,'Diário de Operações'!$B$4:$B$9938)))</f>
        <v>0</v>
      </c>
      <c r="AI32" s="142" t="e">
        <f>VLOOKUP(AG32,'Diário de Operações'!B:T,18,0)</f>
        <v>#N/A</v>
      </c>
      <c r="AJ32" s="143">
        <f t="array" ref="AJ32">SUM(IF('Diário de Operações'!$O$4:$O$9938=Dinâmicas!AF32,IF('Diário de Operações'!$P$4:$P$9938=Dinâmicas!AE32,IF('Diário de Operações'!$U$4:$U$9938&gt;0,'Diário de Operações'!$U$4:$U$9938,"0"))))</f>
        <v>0</v>
      </c>
      <c r="AK32" s="143">
        <f t="array" ref="AK32">SUM(IF('Diário de Operações'!$O$4:$O$9938=Dinâmicas!AF32,IF('Diário de Operações'!$P$4:$P$9938=Dinâmicas!AE32,IF('Diário de Operações'!$U$4:$U$9938&lt;0,'Diário de Operações'!$U$4:$U$9938,"0"))))</f>
        <v>0</v>
      </c>
      <c r="AL32" s="142" t="e">
        <f>VLOOKUP(AH32,'Diário de Operações'!B:T,19,0)</f>
        <v>#N/A</v>
      </c>
      <c r="AM32" s="142" t="e">
        <f t="shared" si="0"/>
        <v>#N/A</v>
      </c>
      <c r="AN32" s="18" t="e">
        <f t="shared" si="3"/>
        <v>#N/A</v>
      </c>
      <c r="AO32" s="143">
        <f t="array" ref="AO32">MIN(IF('Diário de Operações'!$O$4:$O$9938=AF32,IF('Diário de Operações'!$P$4:$P$9938=Dinâmicas!AE32,'Diário de Operações'!$X$4:$X$9938)))</f>
        <v>0</v>
      </c>
      <c r="AP32" s="19" t="e">
        <f t="shared" si="2"/>
        <v>#N/A</v>
      </c>
      <c r="AS32"/>
    </row>
    <row r="33" spans="14:45" x14ac:dyDescent="0.3">
      <c r="N33"/>
      <c r="O33"/>
      <c r="S33"/>
      <c r="V33"/>
      <c r="Y33"/>
      <c r="Z33"/>
      <c r="AC33"/>
      <c r="AD33"/>
      <c r="AE33" s="16">
        <v>2023</v>
      </c>
      <c r="AF33" s="17">
        <v>3</v>
      </c>
      <c r="AG33" s="99">
        <f t="array" ref="AG33">MIN(IF('Diário de Operações'!$O$4:$O$9938=AF33,IF('Diário de Operações'!$P$4:$P$9938=Dinâmicas!AE33,'Diário de Operações'!$B$4:$B$9938)))</f>
        <v>0</v>
      </c>
      <c r="AH33" s="99">
        <f t="array" ref="AH33">MAX(IF('Diário de Operações'!$O$4:$O$9938=AF33,IF('Diário de Operações'!$P$4:$P$9938=Dinâmicas!AE33,'Diário de Operações'!$B$4:$B$9938)))</f>
        <v>0</v>
      </c>
      <c r="AI33" s="142" t="e">
        <f>VLOOKUP(AG33,'Diário de Operações'!B:T,18,0)</f>
        <v>#N/A</v>
      </c>
      <c r="AJ33" s="143">
        <f t="array" ref="AJ33">SUM(IF('Diário de Operações'!$O$4:$O$9938=Dinâmicas!AF33,IF('Diário de Operações'!$P$4:$P$9938=Dinâmicas!AE33,IF('Diário de Operações'!$U$4:$U$9938&gt;0,'Diário de Operações'!$U$4:$U$9938,"0"))))</f>
        <v>0</v>
      </c>
      <c r="AK33" s="143">
        <f t="array" ref="AK33">SUM(IF('Diário de Operações'!$O$4:$O$9938=Dinâmicas!AF33,IF('Diário de Operações'!$P$4:$P$9938=Dinâmicas!AE33,IF('Diário de Operações'!$U$4:$U$9938&lt;0,'Diário de Operações'!$U$4:$U$9938,"0"))))</f>
        <v>0</v>
      </c>
      <c r="AL33" s="142" t="e">
        <f>VLOOKUP(AH33,'Diário de Operações'!B:T,19,0)</f>
        <v>#N/A</v>
      </c>
      <c r="AM33" s="142" t="e">
        <f t="shared" si="0"/>
        <v>#N/A</v>
      </c>
      <c r="AN33" s="18" t="e">
        <f t="shared" si="3"/>
        <v>#N/A</v>
      </c>
      <c r="AO33" s="143">
        <f t="array" ref="AO33">MIN(IF('Diário de Operações'!$O$4:$O$9938=AF33,IF('Diário de Operações'!$P$4:$P$9938=Dinâmicas!AE33,'Diário de Operações'!$X$4:$X$9938)))</f>
        <v>0</v>
      </c>
      <c r="AP33" s="19" t="e">
        <f t="shared" si="2"/>
        <v>#N/A</v>
      </c>
      <c r="AS33"/>
    </row>
    <row r="34" spans="14:45" x14ac:dyDescent="0.3">
      <c r="N34"/>
      <c r="O34"/>
      <c r="S34"/>
      <c r="V34"/>
      <c r="Y34"/>
      <c r="Z34"/>
      <c r="AC34"/>
      <c r="AD34"/>
      <c r="AE34" s="16">
        <v>2023</v>
      </c>
      <c r="AF34" s="17">
        <v>4</v>
      </c>
      <c r="AG34" s="99">
        <f t="array" ref="AG34">MIN(IF('Diário de Operações'!$O$4:$O$9938=AF34,IF('Diário de Operações'!$P$4:$P$9938=Dinâmicas!AE34,'Diário de Operações'!$B$4:$B$9938)))</f>
        <v>0</v>
      </c>
      <c r="AH34" s="99">
        <f t="array" ref="AH34">MAX(IF('Diário de Operações'!$O$4:$O$9938=AF34,IF('Diário de Operações'!$P$4:$P$9938=Dinâmicas!AE34,'Diário de Operações'!$B$4:$B$9938)))</f>
        <v>0</v>
      </c>
      <c r="AI34" s="142" t="e">
        <f>VLOOKUP(AG34,'Diário de Operações'!B:T,18,0)</f>
        <v>#N/A</v>
      </c>
      <c r="AJ34" s="143">
        <f t="array" ref="AJ34">SUM(IF('Diário de Operações'!$O$4:$O$9938=Dinâmicas!AF34,IF('Diário de Operações'!$P$4:$P$9938=Dinâmicas!AE34,IF('Diário de Operações'!$U$4:$U$9938&gt;0,'Diário de Operações'!$U$4:$U$9938,"0"))))</f>
        <v>0</v>
      </c>
      <c r="AK34" s="143">
        <f t="array" ref="AK34">SUM(IF('Diário de Operações'!$O$4:$O$9938=Dinâmicas!AF34,IF('Diário de Operações'!$P$4:$P$9938=Dinâmicas!AE34,IF('Diário de Operações'!$U$4:$U$9938&lt;0,'Diário de Operações'!$U$4:$U$9938,"0"))))</f>
        <v>0</v>
      </c>
      <c r="AL34" s="142" t="e">
        <f>VLOOKUP(AH34,'Diário de Operações'!B:T,19,0)</f>
        <v>#N/A</v>
      </c>
      <c r="AM34" s="142" t="e">
        <f t="shared" si="0"/>
        <v>#N/A</v>
      </c>
      <c r="AN34" s="18" t="e">
        <f t="shared" si="3"/>
        <v>#N/A</v>
      </c>
      <c r="AO34" s="143">
        <f t="array" ref="AO34">MIN(IF('Diário de Operações'!$O$4:$O$9938=AF34,IF('Diário de Operações'!$P$4:$P$9938=Dinâmicas!AE34,'Diário de Operações'!$X$4:$X$9938)))</f>
        <v>0</v>
      </c>
      <c r="AP34" s="19" t="e">
        <f t="shared" si="2"/>
        <v>#N/A</v>
      </c>
      <c r="AS34"/>
    </row>
    <row r="35" spans="14:45" x14ac:dyDescent="0.3">
      <c r="N35"/>
      <c r="O35"/>
      <c r="S35"/>
      <c r="V35"/>
      <c r="Y35"/>
      <c r="Z35"/>
      <c r="AC35"/>
      <c r="AD35"/>
      <c r="AE35" s="16">
        <v>2023</v>
      </c>
      <c r="AF35" s="17">
        <v>5</v>
      </c>
      <c r="AG35" s="99">
        <f t="array" ref="AG35">MIN(IF('Diário de Operações'!$O$4:$O$9938=AF35,IF('Diário de Operações'!$P$4:$P$9938=Dinâmicas!AE35,'Diário de Operações'!$B$4:$B$9938)))</f>
        <v>0</v>
      </c>
      <c r="AH35" s="99">
        <f t="array" ref="AH35">MAX(IF('Diário de Operações'!$O$4:$O$9938=AF35,IF('Diário de Operações'!$P$4:$P$9938=Dinâmicas!AE35,'Diário de Operações'!$B$4:$B$9938)))</f>
        <v>0</v>
      </c>
      <c r="AI35" s="142" t="e">
        <f>VLOOKUP(AG35,'Diário de Operações'!B:T,18,0)</f>
        <v>#N/A</v>
      </c>
      <c r="AJ35" s="143">
        <f t="array" ref="AJ35">SUM(IF('Diário de Operações'!$O$4:$O$9938=Dinâmicas!AF35,IF('Diário de Operações'!$P$4:$P$9938=Dinâmicas!AE35,IF('Diário de Operações'!$U$4:$U$9938&gt;0,'Diário de Operações'!$U$4:$U$9938,"0"))))</f>
        <v>0</v>
      </c>
      <c r="AK35" s="143">
        <f t="array" ref="AK35">SUM(IF('Diário de Operações'!$O$4:$O$9938=Dinâmicas!AF35,IF('Diário de Operações'!$P$4:$P$9938=Dinâmicas!AE35,IF('Diário de Operações'!$U$4:$U$9938&lt;0,'Diário de Operações'!$U$4:$U$9938,"0"))))</f>
        <v>0</v>
      </c>
      <c r="AL35" s="142" t="e">
        <f>VLOOKUP(AH35,'Diário de Operações'!B:T,19,0)</f>
        <v>#N/A</v>
      </c>
      <c r="AM35" s="142" t="e">
        <f t="shared" ref="AM35:AM66" si="4">IF(AG34=AH34,AL35-(AJ35+AK35),(AL35-AI35)-(AJ35+AK35))</f>
        <v>#N/A</v>
      </c>
      <c r="AN35" s="18" t="e">
        <f t="shared" si="3"/>
        <v>#N/A</v>
      </c>
      <c r="AO35" s="143">
        <f t="array" ref="AO35">MIN(IF('Diário de Operações'!$O$4:$O$9938=AF35,IF('Diário de Operações'!$P$4:$P$9938=Dinâmicas!AE35,'Diário de Operações'!$X$4:$X$9938)))</f>
        <v>0</v>
      </c>
      <c r="AP35" s="19" t="e">
        <f t="shared" si="2"/>
        <v>#N/A</v>
      </c>
      <c r="AS35"/>
    </row>
    <row r="36" spans="14:45" x14ac:dyDescent="0.3">
      <c r="N36"/>
      <c r="O36"/>
      <c r="S36"/>
      <c r="V36"/>
      <c r="Y36"/>
      <c r="Z36"/>
      <c r="AC36"/>
      <c r="AD36"/>
      <c r="AE36" s="16">
        <v>2023</v>
      </c>
      <c r="AF36" s="17">
        <v>6</v>
      </c>
      <c r="AG36" s="99">
        <f t="array" ref="AG36">MIN(IF('Diário de Operações'!$O$4:$O$9938=AF36,IF('Diário de Operações'!$P$4:$P$9938=Dinâmicas!AE36,'Diário de Operações'!$B$4:$B$9938)))</f>
        <v>0</v>
      </c>
      <c r="AH36" s="99">
        <f t="array" ref="AH36">MAX(IF('Diário de Operações'!$O$4:$O$9938=AF36,IF('Diário de Operações'!$P$4:$P$9938=Dinâmicas!AE36,'Diário de Operações'!$B$4:$B$9938)))</f>
        <v>0</v>
      </c>
      <c r="AI36" s="142" t="e">
        <f>VLOOKUP(AG36,'Diário de Operações'!B:T,18,0)</f>
        <v>#N/A</v>
      </c>
      <c r="AJ36" s="143">
        <f t="array" ref="AJ36">SUM(IF('Diário de Operações'!$O$4:$O$9938=Dinâmicas!AF36,IF('Diário de Operações'!$P$4:$P$9938=Dinâmicas!AE36,IF('Diário de Operações'!$U$4:$U$9938&gt;0,'Diário de Operações'!$U$4:$U$9938,"0"))))</f>
        <v>0</v>
      </c>
      <c r="AK36" s="143">
        <f t="array" ref="AK36">SUM(IF('Diário de Operações'!$O$4:$O$9938=Dinâmicas!AF36,IF('Diário de Operações'!$P$4:$P$9938=Dinâmicas!AE36,IF('Diário de Operações'!$U$4:$U$9938&lt;0,'Diário de Operações'!$U$4:$U$9938,"0"))))</f>
        <v>0</v>
      </c>
      <c r="AL36" s="142" t="e">
        <f>VLOOKUP(AH36,'Diário de Operações'!B:T,19,0)</f>
        <v>#N/A</v>
      </c>
      <c r="AM36" s="142" t="e">
        <f t="shared" si="4"/>
        <v>#N/A</v>
      </c>
      <c r="AN36" s="18" t="e">
        <f t="shared" si="3"/>
        <v>#N/A</v>
      </c>
      <c r="AO36" s="143">
        <f t="array" ref="AO36">MIN(IF('Diário de Operações'!$O$4:$O$9938=AF36,IF('Diário de Operações'!$P$4:$P$9938=Dinâmicas!AE36,'Diário de Operações'!$X$4:$X$9938)))</f>
        <v>0</v>
      </c>
      <c r="AP36" s="19" t="e">
        <f t="shared" si="2"/>
        <v>#N/A</v>
      </c>
      <c r="AS36"/>
    </row>
    <row r="37" spans="14:45" x14ac:dyDescent="0.3">
      <c r="N37"/>
      <c r="O37"/>
      <c r="S37"/>
      <c r="V37"/>
      <c r="Y37"/>
      <c r="Z37"/>
      <c r="AC37"/>
      <c r="AD37"/>
      <c r="AE37" s="16">
        <v>2023</v>
      </c>
      <c r="AF37" s="17">
        <v>7</v>
      </c>
      <c r="AG37" s="99">
        <f t="array" ref="AG37">MIN(IF('Diário de Operações'!$O$4:$O$9938=AF37,IF('Diário de Operações'!$P$4:$P$9938=Dinâmicas!AE37,'Diário de Operações'!$B$4:$B$9938)))</f>
        <v>0</v>
      </c>
      <c r="AH37" s="99">
        <f t="array" ref="AH37">MAX(IF('Diário de Operações'!$O$4:$O$9938=AF37,IF('Diário de Operações'!$P$4:$P$9938=Dinâmicas!AE37,'Diário de Operações'!$B$4:$B$9938)))</f>
        <v>0</v>
      </c>
      <c r="AI37" s="142" t="e">
        <f>VLOOKUP(AG37,'Diário de Operações'!B:T,18,0)</f>
        <v>#N/A</v>
      </c>
      <c r="AJ37" s="143">
        <f t="array" ref="AJ37">SUM(IF('Diário de Operações'!$O$4:$O$9938=Dinâmicas!AF37,IF('Diário de Operações'!$P$4:$P$9938=Dinâmicas!AE37,IF('Diário de Operações'!$U$4:$U$9938&gt;0,'Diário de Operações'!$U$4:$U$9938,"0"))))</f>
        <v>0</v>
      </c>
      <c r="AK37" s="143">
        <f t="array" ref="AK37">SUM(IF('Diário de Operações'!$O$4:$O$9938=Dinâmicas!AF37,IF('Diário de Operações'!$P$4:$P$9938=Dinâmicas!AE37,IF('Diário de Operações'!$U$4:$U$9938&lt;0,'Diário de Operações'!$U$4:$U$9938,"0"))))</f>
        <v>0</v>
      </c>
      <c r="AL37" s="142" t="e">
        <f>VLOOKUP(AH37,'Diário de Operações'!B:T,19,0)</f>
        <v>#N/A</v>
      </c>
      <c r="AM37" s="142" t="e">
        <f t="shared" si="4"/>
        <v>#N/A</v>
      </c>
      <c r="AN37" s="18" t="e">
        <f t="shared" si="3"/>
        <v>#N/A</v>
      </c>
      <c r="AO37" s="143">
        <f t="array" ref="AO37">MIN(IF('Diário de Operações'!$O$4:$O$9938=AF37,IF('Diário de Operações'!$P$4:$P$9938=Dinâmicas!AE37,'Diário de Operações'!$X$4:$X$9938)))</f>
        <v>0</v>
      </c>
      <c r="AP37" s="19" t="e">
        <f t="shared" si="2"/>
        <v>#N/A</v>
      </c>
      <c r="AS37"/>
    </row>
    <row r="38" spans="14:45" x14ac:dyDescent="0.3">
      <c r="N38"/>
      <c r="O38"/>
      <c r="S38"/>
      <c r="V38"/>
      <c r="Y38"/>
      <c r="Z38"/>
      <c r="AC38"/>
      <c r="AD38"/>
      <c r="AE38" s="16">
        <v>2023</v>
      </c>
      <c r="AF38" s="17">
        <v>8</v>
      </c>
      <c r="AG38" s="99">
        <f t="array" ref="AG38">MIN(IF('Diário de Operações'!$O$4:$O$9938=AF38,IF('Diário de Operações'!$P$4:$P$9938=Dinâmicas!AE38,'Diário de Operações'!$B$4:$B$9938)))</f>
        <v>0</v>
      </c>
      <c r="AH38" s="99">
        <f t="array" ref="AH38">MAX(IF('Diário de Operações'!$O$4:$O$9938=AF38,IF('Diário de Operações'!$P$4:$P$9938=Dinâmicas!AE38,'Diário de Operações'!$B$4:$B$9938)))</f>
        <v>0</v>
      </c>
      <c r="AI38" s="142" t="e">
        <f>VLOOKUP(AG38,'Diário de Operações'!B:T,18,0)</f>
        <v>#N/A</v>
      </c>
      <c r="AJ38" s="143">
        <f t="array" ref="AJ38">SUM(IF('Diário de Operações'!$O$4:$O$9938=Dinâmicas!AF38,IF('Diário de Operações'!$P$4:$P$9938=Dinâmicas!AE38,IF('Diário de Operações'!$U$4:$U$9938&gt;0,'Diário de Operações'!$U$4:$U$9938,"0"))))</f>
        <v>0</v>
      </c>
      <c r="AK38" s="143">
        <f t="array" ref="AK38">SUM(IF('Diário de Operações'!$O$4:$O$9938=Dinâmicas!AF38,IF('Diário de Operações'!$P$4:$P$9938=Dinâmicas!AE38,IF('Diário de Operações'!$U$4:$U$9938&lt;0,'Diário de Operações'!$U$4:$U$9938,"0"))))</f>
        <v>0</v>
      </c>
      <c r="AL38" s="142" t="e">
        <f>VLOOKUP(AH38,'Diário de Operações'!B:T,19,0)</f>
        <v>#N/A</v>
      </c>
      <c r="AM38" s="142" t="e">
        <f t="shared" si="4"/>
        <v>#N/A</v>
      </c>
      <c r="AN38" s="18" t="e">
        <f t="shared" si="3"/>
        <v>#N/A</v>
      </c>
      <c r="AO38" s="143">
        <f t="array" ref="AO38">MIN(IF('Diário de Operações'!$O$4:$O$9938=AF38,IF('Diário de Operações'!$P$4:$P$9938=Dinâmicas!AE38,'Diário de Operações'!$X$4:$X$9938)))</f>
        <v>0</v>
      </c>
      <c r="AP38" s="19" t="e">
        <f t="shared" si="2"/>
        <v>#N/A</v>
      </c>
      <c r="AS38"/>
    </row>
    <row r="39" spans="14:45" x14ac:dyDescent="0.3">
      <c r="N39"/>
      <c r="O39"/>
      <c r="S39"/>
      <c r="V39"/>
      <c r="Y39"/>
      <c r="Z39"/>
      <c r="AC39"/>
      <c r="AD39"/>
      <c r="AE39" s="16">
        <v>2023</v>
      </c>
      <c r="AF39" s="17">
        <v>9</v>
      </c>
      <c r="AG39" s="99">
        <f t="array" ref="AG39">MIN(IF('Diário de Operações'!$O$4:$O$9938=AF39,IF('Diário de Operações'!$P$4:$P$9938=Dinâmicas!AE39,'Diário de Operações'!$B$4:$B$9938)))</f>
        <v>0</v>
      </c>
      <c r="AH39" s="99">
        <f t="array" ref="AH39">MAX(IF('Diário de Operações'!$O$4:$O$9938=AF39,IF('Diário de Operações'!$P$4:$P$9938=Dinâmicas!AE39,'Diário de Operações'!$B$4:$B$9938)))</f>
        <v>0</v>
      </c>
      <c r="AI39" s="142" t="e">
        <f>VLOOKUP(AG39,'Diário de Operações'!B:T,18,0)</f>
        <v>#N/A</v>
      </c>
      <c r="AJ39" s="143">
        <f t="array" ref="AJ39">SUM(IF('Diário de Operações'!$O$4:$O$9938=Dinâmicas!AF39,IF('Diário de Operações'!$P$4:$P$9938=Dinâmicas!AE39,IF('Diário de Operações'!$U$4:$U$9938&gt;0,'Diário de Operações'!$U$4:$U$9938,"0"))))</f>
        <v>0</v>
      </c>
      <c r="AK39" s="143">
        <f t="array" ref="AK39">SUM(IF('Diário de Operações'!$O$4:$O$9938=Dinâmicas!AF39,IF('Diário de Operações'!$P$4:$P$9938=Dinâmicas!AE39,IF('Diário de Operações'!$U$4:$U$9938&lt;0,'Diário de Operações'!$U$4:$U$9938,"0"))))</f>
        <v>0</v>
      </c>
      <c r="AL39" s="142" t="e">
        <f>VLOOKUP(AH39,'Diário de Operações'!B:T,19,0)</f>
        <v>#N/A</v>
      </c>
      <c r="AM39" s="142" t="e">
        <f t="shared" si="4"/>
        <v>#N/A</v>
      </c>
      <c r="AN39" s="18" t="e">
        <f t="shared" si="3"/>
        <v>#N/A</v>
      </c>
      <c r="AO39" s="143">
        <f t="array" ref="AO39">MIN(IF('Diário de Operações'!$O$4:$O$9938=AF39,IF('Diário de Operações'!$P$4:$P$9938=Dinâmicas!AE39,'Diário de Operações'!$X$4:$X$9938)))</f>
        <v>0</v>
      </c>
      <c r="AP39" s="19" t="e">
        <f t="shared" si="2"/>
        <v>#N/A</v>
      </c>
      <c r="AS39"/>
    </row>
    <row r="40" spans="14:45" x14ac:dyDescent="0.3">
      <c r="N40"/>
      <c r="O40"/>
      <c r="S40"/>
      <c r="V40"/>
      <c r="Y40"/>
      <c r="Z40"/>
      <c r="AC40"/>
      <c r="AD40"/>
      <c r="AE40" s="16">
        <v>2023</v>
      </c>
      <c r="AF40" s="17">
        <v>10</v>
      </c>
      <c r="AG40" s="99">
        <f t="array" ref="AG40">MIN(IF('Diário de Operações'!$O$4:$O$9938=AF40,IF('Diário de Operações'!$P$4:$P$9938=Dinâmicas!AE40,'Diário de Operações'!$B$4:$B$9938)))</f>
        <v>0</v>
      </c>
      <c r="AH40" s="99">
        <f t="array" ref="AH40">MAX(IF('Diário de Operações'!$O$4:$O$9938=AF40,IF('Diário de Operações'!$P$4:$P$9938=Dinâmicas!AE40,'Diário de Operações'!$B$4:$B$9938)))</f>
        <v>0</v>
      </c>
      <c r="AI40" s="142" t="e">
        <f>VLOOKUP(AG40,'Diário de Operações'!B:T,18,0)</f>
        <v>#N/A</v>
      </c>
      <c r="AJ40" s="143">
        <f t="array" ref="AJ40">SUM(IF('Diário de Operações'!$O$4:$O$9938=Dinâmicas!AF40,IF('Diário de Operações'!$P$4:$P$9938=Dinâmicas!AE40,IF('Diário de Operações'!$U$4:$U$9938&gt;0,'Diário de Operações'!$U$4:$U$9938,"0"))))</f>
        <v>0</v>
      </c>
      <c r="AK40" s="143">
        <f t="array" ref="AK40">SUM(IF('Diário de Operações'!$O$4:$O$9938=Dinâmicas!AF40,IF('Diário de Operações'!$P$4:$P$9938=Dinâmicas!AE40,IF('Diário de Operações'!$U$4:$U$9938&lt;0,'Diário de Operações'!$U$4:$U$9938,"0"))))</f>
        <v>0</v>
      </c>
      <c r="AL40" s="142" t="e">
        <f>VLOOKUP(AH40,'Diário de Operações'!B:T,19,0)</f>
        <v>#N/A</v>
      </c>
      <c r="AM40" s="142" t="e">
        <f t="shared" si="4"/>
        <v>#N/A</v>
      </c>
      <c r="AN40" s="18" t="e">
        <f t="shared" si="3"/>
        <v>#N/A</v>
      </c>
      <c r="AO40" s="143">
        <f t="array" ref="AO40">MIN(IF('Diário de Operações'!$O$4:$O$9938=AF40,IF('Diário de Operações'!$P$4:$P$9938=Dinâmicas!AE40,'Diário de Operações'!$X$4:$X$9938)))</f>
        <v>0</v>
      </c>
      <c r="AP40" s="19" t="e">
        <f t="shared" si="2"/>
        <v>#N/A</v>
      </c>
      <c r="AS40"/>
    </row>
    <row r="41" spans="14:45" x14ac:dyDescent="0.3">
      <c r="N41"/>
      <c r="O41"/>
      <c r="S41"/>
      <c r="V41"/>
      <c r="Y41"/>
      <c r="Z41"/>
      <c r="AC41"/>
      <c r="AD41"/>
      <c r="AE41" s="16">
        <v>2023</v>
      </c>
      <c r="AF41" s="17">
        <v>11</v>
      </c>
      <c r="AG41" s="99">
        <f t="array" ref="AG41">MIN(IF('Diário de Operações'!$O$4:$O$9938=AF41,IF('Diário de Operações'!$P$4:$P$9938=Dinâmicas!AE41,'Diário de Operações'!$B$4:$B$9938)))</f>
        <v>0</v>
      </c>
      <c r="AH41" s="99">
        <f t="array" ref="AH41">MAX(IF('Diário de Operações'!$O$4:$O$9938=AF41,IF('Diário de Operações'!$P$4:$P$9938=Dinâmicas!AE41,'Diário de Operações'!$B$4:$B$9938)))</f>
        <v>0</v>
      </c>
      <c r="AI41" s="142" t="e">
        <f>VLOOKUP(AG41,'Diário de Operações'!B:T,18,0)</f>
        <v>#N/A</v>
      </c>
      <c r="AJ41" s="143">
        <f t="array" ref="AJ41">SUM(IF('Diário de Operações'!$O$4:$O$9938=Dinâmicas!AF41,IF('Diário de Operações'!$P$4:$P$9938=Dinâmicas!AE41,IF('Diário de Operações'!$U$4:$U$9938&gt;0,'Diário de Operações'!$U$4:$U$9938,"0"))))</f>
        <v>0</v>
      </c>
      <c r="AK41" s="143">
        <f t="array" ref="AK41">SUM(IF('Diário de Operações'!$O$4:$O$9938=Dinâmicas!AF41,IF('Diário de Operações'!$P$4:$P$9938=Dinâmicas!AE41,IF('Diário de Operações'!$U$4:$U$9938&lt;0,'Diário de Operações'!$U$4:$U$9938,"0"))))</f>
        <v>0</v>
      </c>
      <c r="AL41" s="142" t="e">
        <f>VLOOKUP(AH41,'Diário de Operações'!B:T,19,0)</f>
        <v>#N/A</v>
      </c>
      <c r="AM41" s="142" t="e">
        <f t="shared" si="4"/>
        <v>#N/A</v>
      </c>
      <c r="AN41" s="18" t="e">
        <f t="shared" si="3"/>
        <v>#N/A</v>
      </c>
      <c r="AO41" s="143">
        <f t="array" ref="AO41">MIN(IF('Diário de Operações'!$O$4:$O$9938=AF41,IF('Diário de Operações'!$P$4:$P$9938=Dinâmicas!AE41,'Diário de Operações'!$X$4:$X$9938)))</f>
        <v>0</v>
      </c>
      <c r="AP41" s="19" t="e">
        <f t="shared" si="2"/>
        <v>#N/A</v>
      </c>
      <c r="AS41"/>
    </row>
    <row r="42" spans="14:45" x14ac:dyDescent="0.3">
      <c r="N42"/>
      <c r="O42"/>
      <c r="S42"/>
      <c r="V42"/>
      <c r="Y42"/>
      <c r="Z42"/>
      <c r="AC42"/>
      <c r="AD42"/>
      <c r="AE42" s="16">
        <v>2023</v>
      </c>
      <c r="AF42" s="17">
        <v>12</v>
      </c>
      <c r="AG42" s="99">
        <f t="array" ref="AG42">MIN(IF('Diário de Operações'!$O$4:$O$9938=AF42,IF('Diário de Operações'!$P$4:$P$9938=Dinâmicas!AE42,'Diário de Operações'!$B$4:$B$9938)))</f>
        <v>0</v>
      </c>
      <c r="AH42" s="99">
        <f t="array" ref="AH42">MAX(IF('Diário de Operações'!$O$4:$O$9938=AF42,IF('Diário de Operações'!$P$4:$P$9938=Dinâmicas!AE42,'Diário de Operações'!$B$4:$B$9938)))</f>
        <v>0</v>
      </c>
      <c r="AI42" s="142" t="e">
        <f>VLOOKUP(AG42,'Diário de Operações'!B:T,18,0)</f>
        <v>#N/A</v>
      </c>
      <c r="AJ42" s="143">
        <f t="array" ref="AJ42">SUM(IF('Diário de Operações'!$O$4:$O$9938=Dinâmicas!AF42,IF('Diário de Operações'!$P$4:$P$9938=Dinâmicas!AE42,IF('Diário de Operações'!$U$4:$U$9938&gt;0,'Diário de Operações'!$U$4:$U$9938,"0"))))</f>
        <v>0</v>
      </c>
      <c r="AK42" s="143">
        <f t="array" ref="AK42">SUM(IF('Diário de Operações'!$O$4:$O$9938=Dinâmicas!AF42,IF('Diário de Operações'!$P$4:$P$9938=Dinâmicas!AE42,IF('Diário de Operações'!$U$4:$U$9938&lt;0,'Diário de Operações'!$U$4:$U$9938,"0"))))</f>
        <v>0</v>
      </c>
      <c r="AL42" s="142" t="e">
        <f>VLOOKUP(AH42,'Diário de Operações'!B:T,19,0)</f>
        <v>#N/A</v>
      </c>
      <c r="AM42" s="142" t="e">
        <f t="shared" si="4"/>
        <v>#N/A</v>
      </c>
      <c r="AN42" s="18" t="e">
        <f t="shared" si="3"/>
        <v>#N/A</v>
      </c>
      <c r="AO42" s="143">
        <f t="array" ref="AO42">MIN(IF('Diário de Operações'!$O$4:$O$9938=AF42,IF('Diário de Operações'!$P$4:$P$9938=Dinâmicas!AE42,'Diário de Operações'!$X$4:$X$9938)))</f>
        <v>0</v>
      </c>
      <c r="AP42" s="19" t="e">
        <f t="shared" si="2"/>
        <v>#N/A</v>
      </c>
      <c r="AS42"/>
    </row>
    <row r="43" spans="14:45" x14ac:dyDescent="0.3">
      <c r="N43"/>
      <c r="O43"/>
      <c r="S43"/>
      <c r="V43"/>
      <c r="Y43"/>
      <c r="Z43"/>
      <c r="AC43"/>
      <c r="AD43"/>
      <c r="AE43" s="16">
        <v>2024</v>
      </c>
      <c r="AF43" s="17">
        <v>1</v>
      </c>
      <c r="AG43" s="99">
        <f t="array" ref="AG43">MIN(IF('Diário de Operações'!$O$4:$O$9938=AF43,IF('Diário de Operações'!$P$4:$P$9938=Dinâmicas!AE43,'Diário de Operações'!$B$4:$B$9938)))</f>
        <v>0</v>
      </c>
      <c r="AH43" s="99">
        <f t="array" ref="AH43">MAX(IF('Diário de Operações'!$O$4:$O$9938=AF43,IF('Diário de Operações'!$P$4:$P$9938=Dinâmicas!AE43,'Diário de Operações'!$B$4:$B$9938)))</f>
        <v>0</v>
      </c>
      <c r="AI43" s="142" t="e">
        <f>VLOOKUP(AG43,'Diário de Operações'!B:T,18,0)</f>
        <v>#N/A</v>
      </c>
      <c r="AJ43" s="143">
        <f t="array" ref="AJ43">SUM(IF('Diário de Operações'!$O$4:$O$9938=Dinâmicas!AF43,IF('Diário de Operações'!$P$4:$P$9938=Dinâmicas!AE43,IF('Diário de Operações'!$U$4:$U$9938&gt;0,'Diário de Operações'!$U$4:$U$9938,"0"))))</f>
        <v>0</v>
      </c>
      <c r="AK43" s="143">
        <f t="array" ref="AK43">SUM(IF('Diário de Operações'!$O$4:$O$9938=Dinâmicas!AF43,IF('Diário de Operações'!$P$4:$P$9938=Dinâmicas!AE43,IF('Diário de Operações'!$U$4:$U$9938&lt;0,'Diário de Operações'!$U$4:$U$9938,"0"))))</f>
        <v>0</v>
      </c>
      <c r="AL43" s="142" t="e">
        <f>VLOOKUP(AH43,'Diário de Operações'!B:T,19,0)</f>
        <v>#N/A</v>
      </c>
      <c r="AM43" s="142" t="e">
        <f t="shared" si="4"/>
        <v>#N/A</v>
      </c>
      <c r="AN43" s="18" t="e">
        <f t="shared" si="3"/>
        <v>#N/A</v>
      </c>
      <c r="AO43" s="143">
        <f t="array" ref="AO43">MIN(IF('Diário de Operações'!$O$4:$O$9938=AF43,IF('Diário de Operações'!$P$4:$P$9938=Dinâmicas!AE43,'Diário de Operações'!$X$4:$X$9938)))</f>
        <v>0</v>
      </c>
      <c r="AP43" s="19" t="e">
        <f t="shared" si="2"/>
        <v>#N/A</v>
      </c>
      <c r="AS43"/>
    </row>
    <row r="44" spans="14:45" x14ac:dyDescent="0.3">
      <c r="N44"/>
      <c r="O44"/>
      <c r="S44"/>
      <c r="V44"/>
      <c r="Y44"/>
      <c r="Z44"/>
      <c r="AC44"/>
      <c r="AD44"/>
      <c r="AE44" s="16">
        <v>2024</v>
      </c>
      <c r="AF44" s="17">
        <v>2</v>
      </c>
      <c r="AG44" s="99">
        <f t="array" ref="AG44">MIN(IF('Diário de Operações'!$O$4:$O$9938=AF44,IF('Diário de Operações'!$P$4:$P$9938=Dinâmicas!AE44,'Diário de Operações'!$B$4:$B$9938)))</f>
        <v>0</v>
      </c>
      <c r="AH44" s="99">
        <f t="array" ref="AH44">MAX(IF('Diário de Operações'!$O$4:$O$9938=AF44,IF('Diário de Operações'!$P$4:$P$9938=Dinâmicas!AE44,'Diário de Operações'!$B$4:$B$9938)))</f>
        <v>0</v>
      </c>
      <c r="AI44" s="142" t="e">
        <f>VLOOKUP(AG44,'Diário de Operações'!B:T,18,0)</f>
        <v>#N/A</v>
      </c>
      <c r="AJ44" s="143">
        <f t="array" ref="AJ44">SUM(IF('Diário de Operações'!$O$4:$O$9938=Dinâmicas!AF44,IF('Diário de Operações'!$P$4:$P$9938=Dinâmicas!AE44,IF('Diário de Operações'!$U$4:$U$9938&gt;0,'Diário de Operações'!$U$4:$U$9938,"0"))))</f>
        <v>0</v>
      </c>
      <c r="AK44" s="143">
        <f t="array" ref="AK44">SUM(IF('Diário de Operações'!$O$4:$O$9938=Dinâmicas!AF44,IF('Diário de Operações'!$P$4:$P$9938=Dinâmicas!AE44,IF('Diário de Operações'!$U$4:$U$9938&lt;0,'Diário de Operações'!$U$4:$U$9938,"0"))))</f>
        <v>0</v>
      </c>
      <c r="AL44" s="142" t="e">
        <f>VLOOKUP(AH44,'Diário de Operações'!B:T,19,0)</f>
        <v>#N/A</v>
      </c>
      <c r="AM44" s="142" t="e">
        <f t="shared" si="4"/>
        <v>#N/A</v>
      </c>
      <c r="AN44" s="18" t="e">
        <f t="shared" si="3"/>
        <v>#N/A</v>
      </c>
      <c r="AO44" s="143">
        <f t="array" ref="AO44">MIN(IF('Diário de Operações'!$O$4:$O$9938=AF44,IF('Diário de Operações'!$P$4:$P$9938=Dinâmicas!AE44,'Diário de Operações'!$X$4:$X$9938)))</f>
        <v>0</v>
      </c>
      <c r="AP44" s="19" t="e">
        <f t="shared" si="2"/>
        <v>#N/A</v>
      </c>
      <c r="AS44"/>
    </row>
    <row r="45" spans="14:45" x14ac:dyDescent="0.3">
      <c r="N45"/>
      <c r="O45"/>
      <c r="S45"/>
      <c r="V45"/>
      <c r="Y45"/>
      <c r="Z45"/>
      <c r="AC45"/>
      <c r="AD45"/>
      <c r="AE45" s="16">
        <v>2024</v>
      </c>
      <c r="AF45" s="17">
        <v>3</v>
      </c>
      <c r="AG45" s="99">
        <f t="array" ref="AG45">MIN(IF('Diário de Operações'!$O$4:$O$9938=AF45,IF('Diário de Operações'!$P$4:$P$9938=Dinâmicas!AE45,'Diário de Operações'!$B$4:$B$9938)))</f>
        <v>0</v>
      </c>
      <c r="AH45" s="99">
        <f t="array" ref="AH45">MAX(IF('Diário de Operações'!$O$4:$O$9938=AF45,IF('Diário de Operações'!$P$4:$P$9938=Dinâmicas!AE45,'Diário de Operações'!$B$4:$B$9938)))</f>
        <v>0</v>
      </c>
      <c r="AI45" s="142" t="e">
        <f>VLOOKUP(AG45,'Diário de Operações'!B:T,18,0)</f>
        <v>#N/A</v>
      </c>
      <c r="AJ45" s="143">
        <f t="array" ref="AJ45">SUM(IF('Diário de Operações'!$O$4:$O$9938=Dinâmicas!AF45,IF('Diário de Operações'!$P$4:$P$9938=Dinâmicas!AE45,IF('Diário de Operações'!$U$4:$U$9938&gt;0,'Diário de Operações'!$U$4:$U$9938,"0"))))</f>
        <v>0</v>
      </c>
      <c r="AK45" s="143">
        <f t="array" ref="AK45">SUM(IF('Diário de Operações'!$O$4:$O$9938=Dinâmicas!AF45,IF('Diário de Operações'!$P$4:$P$9938=Dinâmicas!AE45,IF('Diário de Operações'!$U$4:$U$9938&lt;0,'Diário de Operações'!$U$4:$U$9938,"0"))))</f>
        <v>0</v>
      </c>
      <c r="AL45" s="142" t="e">
        <f>VLOOKUP(AH45,'Diário de Operações'!B:T,19,0)</f>
        <v>#N/A</v>
      </c>
      <c r="AM45" s="142" t="e">
        <f t="shared" si="4"/>
        <v>#N/A</v>
      </c>
      <c r="AN45" s="18" t="e">
        <f t="shared" si="3"/>
        <v>#N/A</v>
      </c>
      <c r="AO45" s="143">
        <f t="array" ref="AO45">MIN(IF('Diário de Operações'!$O$4:$O$9938=AF45,IF('Diário de Operações'!$P$4:$P$9938=Dinâmicas!AE45,'Diário de Operações'!$X$4:$X$9938)))</f>
        <v>0</v>
      </c>
      <c r="AP45" s="19" t="e">
        <f t="shared" si="2"/>
        <v>#N/A</v>
      </c>
      <c r="AS45"/>
    </row>
    <row r="46" spans="14:45" x14ac:dyDescent="0.3">
      <c r="N46"/>
      <c r="O46"/>
      <c r="S46"/>
      <c r="V46"/>
      <c r="Y46"/>
      <c r="Z46"/>
      <c r="AC46"/>
      <c r="AD46"/>
      <c r="AE46" s="16">
        <v>2024</v>
      </c>
      <c r="AF46" s="17">
        <v>4</v>
      </c>
      <c r="AG46" s="99">
        <f t="array" ref="AG46">MIN(IF('Diário de Operações'!$O$4:$O$9938=AF46,IF('Diário de Operações'!$P$4:$P$9938=Dinâmicas!AE46,'Diário de Operações'!$B$4:$B$9938)))</f>
        <v>0</v>
      </c>
      <c r="AH46" s="99">
        <f t="array" ref="AH46">MAX(IF('Diário de Operações'!$O$4:$O$9938=AF46,IF('Diário de Operações'!$P$4:$P$9938=Dinâmicas!AE46,'Diário de Operações'!$B$4:$B$9938)))</f>
        <v>0</v>
      </c>
      <c r="AI46" s="142" t="e">
        <f>VLOOKUP(AG46,'Diário de Operações'!B:T,18,0)</f>
        <v>#N/A</v>
      </c>
      <c r="AJ46" s="143">
        <f t="array" ref="AJ46">SUM(IF('Diário de Operações'!$O$4:$O$9938=Dinâmicas!AF46,IF('Diário de Operações'!$P$4:$P$9938=Dinâmicas!AE46,IF('Diário de Operações'!$U$4:$U$9938&gt;0,'Diário de Operações'!$U$4:$U$9938,"0"))))</f>
        <v>0</v>
      </c>
      <c r="AK46" s="143">
        <f t="array" ref="AK46">SUM(IF('Diário de Operações'!$O$4:$O$9938=Dinâmicas!AF46,IF('Diário de Operações'!$P$4:$P$9938=Dinâmicas!AE46,IF('Diário de Operações'!$U$4:$U$9938&lt;0,'Diário de Operações'!$U$4:$U$9938,"0"))))</f>
        <v>0</v>
      </c>
      <c r="AL46" s="142" t="e">
        <f>VLOOKUP(AH46,'Diário de Operações'!B:T,19,0)</f>
        <v>#N/A</v>
      </c>
      <c r="AM46" s="142" t="e">
        <f t="shared" si="4"/>
        <v>#N/A</v>
      </c>
      <c r="AN46" s="18" t="e">
        <f t="shared" si="3"/>
        <v>#N/A</v>
      </c>
      <c r="AO46" s="143">
        <f t="array" ref="AO46">MIN(IF('Diário de Operações'!$O$4:$O$9938=AF46,IF('Diário de Operações'!$P$4:$P$9938=Dinâmicas!AE46,'Diário de Operações'!$X$4:$X$9938)))</f>
        <v>0</v>
      </c>
      <c r="AP46" s="19" t="e">
        <f t="shared" si="2"/>
        <v>#N/A</v>
      </c>
      <c r="AS46"/>
    </row>
    <row r="47" spans="14:45" x14ac:dyDescent="0.3">
      <c r="N47"/>
      <c r="O47"/>
      <c r="S47"/>
      <c r="V47"/>
      <c r="Y47"/>
      <c r="Z47"/>
      <c r="AC47"/>
      <c r="AD47"/>
      <c r="AE47" s="16">
        <v>2024</v>
      </c>
      <c r="AF47" s="17">
        <v>5</v>
      </c>
      <c r="AG47" s="99">
        <f t="array" ref="AG47">MIN(IF('Diário de Operações'!$O$4:$O$9938=AF47,IF('Diário de Operações'!$P$4:$P$9938=Dinâmicas!AE47,'Diário de Operações'!$B$4:$B$9938)))</f>
        <v>0</v>
      </c>
      <c r="AH47" s="99">
        <f t="array" ref="AH47">MAX(IF('Diário de Operações'!$O$4:$O$9938=AF47,IF('Diário de Operações'!$P$4:$P$9938=Dinâmicas!AE47,'Diário de Operações'!$B$4:$B$9938)))</f>
        <v>0</v>
      </c>
      <c r="AI47" s="142" t="e">
        <f>VLOOKUP(AG47,'Diário de Operações'!B:T,18,0)</f>
        <v>#N/A</v>
      </c>
      <c r="AJ47" s="143">
        <f t="array" ref="AJ47">SUM(IF('Diário de Operações'!$O$4:$O$9938=Dinâmicas!AF47,IF('Diário de Operações'!$P$4:$P$9938=Dinâmicas!AE47,IF('Diário de Operações'!$U$4:$U$9938&gt;0,'Diário de Operações'!$U$4:$U$9938,"0"))))</f>
        <v>0</v>
      </c>
      <c r="AK47" s="143">
        <f t="array" ref="AK47">SUM(IF('Diário de Operações'!$O$4:$O$9938=Dinâmicas!AF47,IF('Diário de Operações'!$P$4:$P$9938=Dinâmicas!AE47,IF('Diário de Operações'!$U$4:$U$9938&lt;0,'Diário de Operações'!$U$4:$U$9938,"0"))))</f>
        <v>0</v>
      </c>
      <c r="AL47" s="142" t="e">
        <f>VLOOKUP(AH47,'Diário de Operações'!B:T,19,0)</f>
        <v>#N/A</v>
      </c>
      <c r="AM47" s="142" t="e">
        <f t="shared" si="4"/>
        <v>#N/A</v>
      </c>
      <c r="AN47" s="18" t="e">
        <f t="shared" si="3"/>
        <v>#N/A</v>
      </c>
      <c r="AO47" s="143">
        <f t="array" ref="AO47">MIN(IF('Diário de Operações'!$O$4:$O$9938=AF47,IF('Diário de Operações'!$P$4:$P$9938=Dinâmicas!AE47,'Diário de Operações'!$X$4:$X$9938)))</f>
        <v>0</v>
      </c>
      <c r="AP47" s="19" t="e">
        <f t="shared" si="2"/>
        <v>#N/A</v>
      </c>
      <c r="AS47"/>
    </row>
    <row r="48" spans="14:45" x14ac:dyDescent="0.3">
      <c r="N48"/>
      <c r="O48"/>
      <c r="S48"/>
      <c r="V48"/>
      <c r="Y48"/>
      <c r="Z48"/>
      <c r="AC48"/>
      <c r="AD48"/>
      <c r="AE48" s="16">
        <v>2024</v>
      </c>
      <c r="AF48" s="17">
        <v>6</v>
      </c>
      <c r="AG48" s="99">
        <f t="array" ref="AG48">MIN(IF('Diário de Operações'!$O$4:$O$9938=AF48,IF('Diário de Operações'!$P$4:$P$9938=Dinâmicas!AE48,'Diário de Operações'!$B$4:$B$9938)))</f>
        <v>0</v>
      </c>
      <c r="AH48" s="99">
        <f t="array" ref="AH48">MAX(IF('Diário de Operações'!$O$4:$O$9938=AF48,IF('Diário de Operações'!$P$4:$P$9938=Dinâmicas!AE48,'Diário de Operações'!$B$4:$B$9938)))</f>
        <v>0</v>
      </c>
      <c r="AI48" s="142" t="e">
        <f>VLOOKUP(AG48,'Diário de Operações'!B:T,18,0)</f>
        <v>#N/A</v>
      </c>
      <c r="AJ48" s="143">
        <f t="array" ref="AJ48">SUM(IF('Diário de Operações'!$O$4:$O$9938=Dinâmicas!AF48,IF('Diário de Operações'!$P$4:$P$9938=Dinâmicas!AE48,IF('Diário de Operações'!$U$4:$U$9938&gt;0,'Diário de Operações'!$U$4:$U$9938,"0"))))</f>
        <v>0</v>
      </c>
      <c r="AK48" s="143">
        <f t="array" ref="AK48">SUM(IF('Diário de Operações'!$O$4:$O$9938=Dinâmicas!AF48,IF('Diário de Operações'!$P$4:$P$9938=Dinâmicas!AE48,IF('Diário de Operações'!$U$4:$U$9938&lt;0,'Diário de Operações'!$U$4:$U$9938,"0"))))</f>
        <v>0</v>
      </c>
      <c r="AL48" s="142" t="e">
        <f>VLOOKUP(AH48,'Diário de Operações'!B:T,19,0)</f>
        <v>#N/A</v>
      </c>
      <c r="AM48" s="142" t="e">
        <f t="shared" si="4"/>
        <v>#N/A</v>
      </c>
      <c r="AN48" s="18" t="e">
        <f t="shared" si="3"/>
        <v>#N/A</v>
      </c>
      <c r="AO48" s="143">
        <f t="array" ref="AO48">MIN(IF('Diário de Operações'!$O$4:$O$9938=AF48,IF('Diário de Operações'!$P$4:$P$9938=Dinâmicas!AE48,'Diário de Operações'!$X$4:$X$9938)))</f>
        <v>0</v>
      </c>
      <c r="AP48" s="19" t="e">
        <f t="shared" si="2"/>
        <v>#N/A</v>
      </c>
      <c r="AS48"/>
    </row>
    <row r="49" spans="14:45" x14ac:dyDescent="0.3">
      <c r="N49"/>
      <c r="O49"/>
      <c r="S49"/>
      <c r="V49"/>
      <c r="Y49"/>
      <c r="Z49"/>
      <c r="AC49"/>
      <c r="AD49"/>
      <c r="AE49" s="16">
        <v>2024</v>
      </c>
      <c r="AF49" s="17">
        <v>7</v>
      </c>
      <c r="AG49" s="99">
        <f t="array" ref="AG49">MIN(IF('Diário de Operações'!$O$4:$O$9938=AF49,IF('Diário de Operações'!$P$4:$P$9938=Dinâmicas!AE49,'Diário de Operações'!$B$4:$B$9938)))</f>
        <v>0</v>
      </c>
      <c r="AH49" s="99">
        <f t="array" ref="AH49">MAX(IF('Diário de Operações'!$O$4:$O$9938=AF49,IF('Diário de Operações'!$P$4:$P$9938=Dinâmicas!AE49,'Diário de Operações'!$B$4:$B$9938)))</f>
        <v>0</v>
      </c>
      <c r="AI49" s="142" t="e">
        <f>VLOOKUP(AG49,'Diário de Operações'!B:T,18,0)</f>
        <v>#N/A</v>
      </c>
      <c r="AJ49" s="143">
        <f t="array" ref="AJ49">SUM(IF('Diário de Operações'!$O$4:$O$9938=Dinâmicas!AF49,IF('Diário de Operações'!$P$4:$P$9938=Dinâmicas!AE49,IF('Diário de Operações'!$U$4:$U$9938&gt;0,'Diário de Operações'!$U$4:$U$9938,"0"))))</f>
        <v>0</v>
      </c>
      <c r="AK49" s="143">
        <f t="array" ref="AK49">SUM(IF('Diário de Operações'!$O$4:$O$9938=Dinâmicas!AF49,IF('Diário de Operações'!$P$4:$P$9938=Dinâmicas!AE49,IF('Diário de Operações'!$U$4:$U$9938&lt;0,'Diário de Operações'!$U$4:$U$9938,"0"))))</f>
        <v>0</v>
      </c>
      <c r="AL49" s="142" t="e">
        <f>VLOOKUP(AH49,'Diário de Operações'!B:T,19,0)</f>
        <v>#N/A</v>
      </c>
      <c r="AM49" s="142" t="e">
        <f t="shared" si="4"/>
        <v>#N/A</v>
      </c>
      <c r="AN49" s="18" t="e">
        <f t="shared" si="3"/>
        <v>#N/A</v>
      </c>
      <c r="AO49" s="143">
        <f t="array" ref="AO49">MIN(IF('Diário de Operações'!$O$4:$O$9938=AF49,IF('Diário de Operações'!$P$4:$P$9938=Dinâmicas!AE49,'Diário de Operações'!$X$4:$X$9938)))</f>
        <v>0</v>
      </c>
      <c r="AP49" s="19" t="e">
        <f t="shared" si="2"/>
        <v>#N/A</v>
      </c>
      <c r="AS49"/>
    </row>
    <row r="50" spans="14:45" x14ac:dyDescent="0.3">
      <c r="N50"/>
      <c r="O50"/>
      <c r="S50"/>
      <c r="V50"/>
      <c r="Y50"/>
      <c r="Z50"/>
      <c r="AC50"/>
      <c r="AD50"/>
      <c r="AE50" s="16">
        <v>2024</v>
      </c>
      <c r="AF50" s="17">
        <v>8</v>
      </c>
      <c r="AG50" s="99">
        <f t="array" ref="AG50">MIN(IF('Diário de Operações'!$O$4:$O$9938=AF50,IF('Diário de Operações'!$P$4:$P$9938=Dinâmicas!AE50,'Diário de Operações'!$B$4:$B$9938)))</f>
        <v>0</v>
      </c>
      <c r="AH50" s="99">
        <f t="array" ref="AH50">MAX(IF('Diário de Operações'!$O$4:$O$9938=AF50,IF('Diário de Operações'!$P$4:$P$9938=Dinâmicas!AE50,'Diário de Operações'!$B$4:$B$9938)))</f>
        <v>0</v>
      </c>
      <c r="AI50" s="142" t="e">
        <f>VLOOKUP(AG50,'Diário de Operações'!B:T,18,0)</f>
        <v>#N/A</v>
      </c>
      <c r="AJ50" s="143">
        <f t="array" ref="AJ50">SUM(IF('Diário de Operações'!$O$4:$O$9938=Dinâmicas!AF50,IF('Diário de Operações'!$P$4:$P$9938=Dinâmicas!AE50,IF('Diário de Operações'!$U$4:$U$9938&gt;0,'Diário de Operações'!$U$4:$U$9938,"0"))))</f>
        <v>0</v>
      </c>
      <c r="AK50" s="143">
        <f t="array" ref="AK50">SUM(IF('Diário de Operações'!$O$4:$O$9938=Dinâmicas!AF50,IF('Diário de Operações'!$P$4:$P$9938=Dinâmicas!AE50,IF('Diário de Operações'!$U$4:$U$9938&lt;0,'Diário de Operações'!$U$4:$U$9938,"0"))))</f>
        <v>0</v>
      </c>
      <c r="AL50" s="142" t="e">
        <f>VLOOKUP(AH50,'Diário de Operações'!B:T,19,0)</f>
        <v>#N/A</v>
      </c>
      <c r="AM50" s="142" t="e">
        <f t="shared" si="4"/>
        <v>#N/A</v>
      </c>
      <c r="AN50" s="18" t="e">
        <f t="shared" si="3"/>
        <v>#N/A</v>
      </c>
      <c r="AO50" s="143">
        <f t="array" ref="AO50">MIN(IF('Diário de Operações'!$O$4:$O$9938=AF50,IF('Diário de Operações'!$P$4:$P$9938=Dinâmicas!AE50,'Diário de Operações'!$X$4:$X$9938)))</f>
        <v>0</v>
      </c>
      <c r="AP50" s="19" t="e">
        <f t="shared" si="2"/>
        <v>#N/A</v>
      </c>
      <c r="AS50"/>
    </row>
    <row r="51" spans="14:45" x14ac:dyDescent="0.3">
      <c r="N51"/>
      <c r="O51"/>
      <c r="S51"/>
      <c r="V51"/>
      <c r="Y51"/>
      <c r="Z51"/>
      <c r="AC51"/>
      <c r="AD51"/>
      <c r="AE51" s="16">
        <v>2024</v>
      </c>
      <c r="AF51" s="17">
        <v>9</v>
      </c>
      <c r="AG51" s="99">
        <f t="array" ref="AG51">MIN(IF('Diário de Operações'!$O$4:$O$9938=AF51,IF('Diário de Operações'!$P$4:$P$9938=Dinâmicas!AE51,'Diário de Operações'!$B$4:$B$9938)))</f>
        <v>0</v>
      </c>
      <c r="AH51" s="99">
        <f t="array" ref="AH51">MAX(IF('Diário de Operações'!$O$4:$O$9938=AF51,IF('Diário de Operações'!$P$4:$P$9938=Dinâmicas!AE51,'Diário de Operações'!$B$4:$B$9938)))</f>
        <v>0</v>
      </c>
      <c r="AI51" s="142" t="e">
        <f>VLOOKUP(AG51,'Diário de Operações'!B:T,18,0)</f>
        <v>#N/A</v>
      </c>
      <c r="AJ51" s="143">
        <f t="array" ref="AJ51">SUM(IF('Diário de Operações'!$O$4:$O$9938=Dinâmicas!AF51,IF('Diário de Operações'!$P$4:$P$9938=Dinâmicas!AE51,IF('Diário de Operações'!$U$4:$U$9938&gt;0,'Diário de Operações'!$U$4:$U$9938,"0"))))</f>
        <v>0</v>
      </c>
      <c r="AK51" s="143">
        <f t="array" ref="AK51">SUM(IF('Diário de Operações'!$O$4:$O$9938=Dinâmicas!AF51,IF('Diário de Operações'!$P$4:$P$9938=Dinâmicas!AE51,IF('Diário de Operações'!$U$4:$U$9938&lt;0,'Diário de Operações'!$U$4:$U$9938,"0"))))</f>
        <v>0</v>
      </c>
      <c r="AL51" s="142" t="e">
        <f>VLOOKUP(AH51,'Diário de Operações'!B:T,19,0)</f>
        <v>#N/A</v>
      </c>
      <c r="AM51" s="142" t="e">
        <f t="shared" si="4"/>
        <v>#N/A</v>
      </c>
      <c r="AN51" s="18" t="e">
        <f t="shared" si="3"/>
        <v>#N/A</v>
      </c>
      <c r="AO51" s="143">
        <f t="array" ref="AO51">MIN(IF('Diário de Operações'!$O$4:$O$9938=AF51,IF('Diário de Operações'!$P$4:$P$9938=Dinâmicas!AE51,'Diário de Operações'!$X$4:$X$9938)))</f>
        <v>0</v>
      </c>
      <c r="AP51" s="19" t="e">
        <f t="shared" si="2"/>
        <v>#N/A</v>
      </c>
      <c r="AS51"/>
    </row>
    <row r="52" spans="14:45" x14ac:dyDescent="0.3">
      <c r="N52"/>
      <c r="O52"/>
      <c r="S52"/>
      <c r="V52"/>
      <c r="Y52"/>
      <c r="Z52"/>
      <c r="AC52"/>
      <c r="AD52"/>
      <c r="AE52" s="16">
        <v>2024</v>
      </c>
      <c r="AF52" s="17">
        <v>10</v>
      </c>
      <c r="AG52" s="99">
        <f t="array" ref="AG52">MIN(IF('Diário de Operações'!$O$4:$O$9938=AF52,IF('Diário de Operações'!$P$4:$P$9938=Dinâmicas!AE52,'Diário de Operações'!$B$4:$B$9938)))</f>
        <v>0</v>
      </c>
      <c r="AH52" s="99">
        <f t="array" ref="AH52">MAX(IF('Diário de Operações'!$O$4:$O$9938=AF52,IF('Diário de Operações'!$P$4:$P$9938=Dinâmicas!AE52,'Diário de Operações'!$B$4:$B$9938)))</f>
        <v>0</v>
      </c>
      <c r="AI52" s="142" t="e">
        <f>VLOOKUP(AG52,'Diário de Operações'!B:T,18,0)</f>
        <v>#N/A</v>
      </c>
      <c r="AJ52" s="143">
        <f t="array" ref="AJ52">SUM(IF('Diário de Operações'!$O$4:$O$9938=Dinâmicas!AF52,IF('Diário de Operações'!$P$4:$P$9938=Dinâmicas!AE52,IF('Diário de Operações'!$U$4:$U$9938&gt;0,'Diário de Operações'!$U$4:$U$9938,"0"))))</f>
        <v>0</v>
      </c>
      <c r="AK52" s="143">
        <f t="array" ref="AK52">SUM(IF('Diário de Operações'!$O$4:$O$9938=Dinâmicas!AF52,IF('Diário de Operações'!$P$4:$P$9938=Dinâmicas!AE52,IF('Diário de Operações'!$U$4:$U$9938&lt;0,'Diário de Operações'!$U$4:$U$9938,"0"))))</f>
        <v>0</v>
      </c>
      <c r="AL52" s="142" t="e">
        <f>VLOOKUP(AH52,'Diário de Operações'!B:T,19,0)</f>
        <v>#N/A</v>
      </c>
      <c r="AM52" s="142" t="e">
        <f t="shared" si="4"/>
        <v>#N/A</v>
      </c>
      <c r="AN52" s="18" t="e">
        <f t="shared" si="3"/>
        <v>#N/A</v>
      </c>
      <c r="AO52" s="143">
        <f t="array" ref="AO52">MIN(IF('Diário de Operações'!$O$4:$O$9938=AF52,IF('Diário de Operações'!$P$4:$P$9938=Dinâmicas!AE52,'Diário de Operações'!$X$4:$X$9938)))</f>
        <v>0</v>
      </c>
      <c r="AP52" s="19" t="e">
        <f t="shared" si="2"/>
        <v>#N/A</v>
      </c>
      <c r="AS52"/>
    </row>
    <row r="53" spans="14:45" x14ac:dyDescent="0.3">
      <c r="N53"/>
      <c r="O53"/>
      <c r="S53"/>
      <c r="V53"/>
      <c r="Y53"/>
      <c r="Z53"/>
      <c r="AC53"/>
      <c r="AD53"/>
      <c r="AE53" s="16">
        <v>2024</v>
      </c>
      <c r="AF53" s="17">
        <v>11</v>
      </c>
      <c r="AG53" s="99">
        <f t="array" ref="AG53">MIN(IF('Diário de Operações'!$O$4:$O$9938=AF53,IF('Diário de Operações'!$P$4:$P$9938=Dinâmicas!AE53,'Diário de Operações'!$B$4:$B$9938)))</f>
        <v>0</v>
      </c>
      <c r="AH53" s="99">
        <f t="array" ref="AH53">MAX(IF('Diário de Operações'!$O$4:$O$9938=AF53,IF('Diário de Operações'!$P$4:$P$9938=Dinâmicas!AE53,'Diário de Operações'!$B$4:$B$9938)))</f>
        <v>0</v>
      </c>
      <c r="AI53" s="142" t="e">
        <f>VLOOKUP(AG53,'Diário de Operações'!B:T,18,0)</f>
        <v>#N/A</v>
      </c>
      <c r="AJ53" s="143">
        <f t="array" ref="AJ53">SUM(IF('Diário de Operações'!$O$4:$O$9938=Dinâmicas!AF53,IF('Diário de Operações'!$P$4:$P$9938=Dinâmicas!AE53,IF('Diário de Operações'!$U$4:$U$9938&gt;0,'Diário de Operações'!$U$4:$U$9938,"0"))))</f>
        <v>0</v>
      </c>
      <c r="AK53" s="143">
        <f t="array" ref="AK53">SUM(IF('Diário de Operações'!$O$4:$O$9938=Dinâmicas!AF53,IF('Diário de Operações'!$P$4:$P$9938=Dinâmicas!AE53,IF('Diário de Operações'!$U$4:$U$9938&lt;0,'Diário de Operações'!$U$4:$U$9938,"0"))))</f>
        <v>0</v>
      </c>
      <c r="AL53" s="142" t="e">
        <f>VLOOKUP(AH53,'Diário de Operações'!B:T,19,0)</f>
        <v>#N/A</v>
      </c>
      <c r="AM53" s="142" t="e">
        <f t="shared" si="4"/>
        <v>#N/A</v>
      </c>
      <c r="AN53" s="18" t="e">
        <f t="shared" si="3"/>
        <v>#N/A</v>
      </c>
      <c r="AO53" s="143">
        <f t="array" ref="AO53">MIN(IF('Diário de Operações'!$O$4:$O$9938=AF53,IF('Diário de Operações'!$P$4:$P$9938=Dinâmicas!AE53,'Diário de Operações'!$X$4:$X$9938)))</f>
        <v>0</v>
      </c>
      <c r="AP53" s="19" t="e">
        <f t="shared" si="2"/>
        <v>#N/A</v>
      </c>
      <c r="AS53"/>
    </row>
    <row r="54" spans="14:45" x14ac:dyDescent="0.3">
      <c r="N54"/>
      <c r="O54"/>
      <c r="S54"/>
      <c r="V54"/>
      <c r="Y54"/>
      <c r="Z54"/>
      <c r="AC54"/>
      <c r="AD54"/>
      <c r="AE54" s="16">
        <v>2024</v>
      </c>
      <c r="AF54" s="17">
        <v>12</v>
      </c>
      <c r="AG54" s="99">
        <f t="array" ref="AG54">MIN(IF('Diário de Operações'!$O$4:$O$9938=AF54,IF('Diário de Operações'!$P$4:$P$9938=Dinâmicas!AE54,'Diário de Operações'!$B$4:$B$9938)))</f>
        <v>0</v>
      </c>
      <c r="AH54" s="99">
        <f t="array" ref="AH54">MAX(IF('Diário de Operações'!$O$4:$O$9938=AF54,IF('Diário de Operações'!$P$4:$P$9938=Dinâmicas!AE54,'Diário de Operações'!$B$4:$B$9938)))</f>
        <v>0</v>
      </c>
      <c r="AI54" s="142" t="e">
        <f>VLOOKUP(AG54,'Diário de Operações'!B:T,18,0)</f>
        <v>#N/A</v>
      </c>
      <c r="AJ54" s="143">
        <f t="array" ref="AJ54">SUM(IF('Diário de Operações'!$O$4:$O$9938=Dinâmicas!AF54,IF('Diário de Operações'!$P$4:$P$9938=Dinâmicas!AE54,IF('Diário de Operações'!$U$4:$U$9938&gt;0,'Diário de Operações'!$U$4:$U$9938,"0"))))</f>
        <v>0</v>
      </c>
      <c r="AK54" s="143">
        <f t="array" ref="AK54">SUM(IF('Diário de Operações'!$O$4:$O$9938=Dinâmicas!AF54,IF('Diário de Operações'!$P$4:$P$9938=Dinâmicas!AE54,IF('Diário de Operações'!$U$4:$U$9938&lt;0,'Diário de Operações'!$U$4:$U$9938,"0"))))</f>
        <v>0</v>
      </c>
      <c r="AL54" s="142" t="e">
        <f>VLOOKUP(AH54,'Diário de Operações'!B:T,19,0)</f>
        <v>#N/A</v>
      </c>
      <c r="AM54" s="142" t="e">
        <f t="shared" si="4"/>
        <v>#N/A</v>
      </c>
      <c r="AN54" s="18" t="e">
        <f t="shared" si="3"/>
        <v>#N/A</v>
      </c>
      <c r="AO54" s="143">
        <f t="array" ref="AO54">MIN(IF('Diário de Operações'!$O$4:$O$9938=AF54,IF('Diário de Operações'!$P$4:$P$9938=Dinâmicas!AE54,'Diário de Operações'!$X$4:$X$9938)))</f>
        <v>0</v>
      </c>
      <c r="AP54" s="19" t="e">
        <f t="shared" si="2"/>
        <v>#N/A</v>
      </c>
      <c r="AS54"/>
    </row>
    <row r="55" spans="14:45" x14ac:dyDescent="0.3">
      <c r="N55"/>
      <c r="O55"/>
      <c r="S55"/>
      <c r="V55"/>
      <c r="Y55"/>
      <c r="Z55"/>
      <c r="AC55"/>
      <c r="AD55"/>
      <c r="AE55" s="16">
        <v>2025</v>
      </c>
      <c r="AF55" s="17">
        <v>1</v>
      </c>
      <c r="AG55" s="99">
        <f t="array" ref="AG55">MIN(IF('Diário de Operações'!$O$4:$O$9938=AF55,IF('Diário de Operações'!$P$4:$P$9938=Dinâmicas!AE55,'Diário de Operações'!$B$4:$B$9938)))</f>
        <v>0</v>
      </c>
      <c r="AH55" s="99">
        <f t="array" ref="AH55">MAX(IF('Diário de Operações'!$O$4:$O$9938=AF55,IF('Diário de Operações'!$P$4:$P$9938=Dinâmicas!AE55,'Diário de Operações'!$B$4:$B$9938)))</f>
        <v>0</v>
      </c>
      <c r="AI55" s="142" t="e">
        <f>VLOOKUP(AG55,'Diário de Operações'!B:T,18,0)</f>
        <v>#N/A</v>
      </c>
      <c r="AJ55" s="143">
        <f t="array" ref="AJ55">SUM(IF('Diário de Operações'!$O$4:$O$9938=Dinâmicas!AF55,IF('Diário de Operações'!$P$4:$P$9938=Dinâmicas!AE55,IF('Diário de Operações'!$U$4:$U$9938&gt;0,'Diário de Operações'!$U$4:$U$9938,"0"))))</f>
        <v>0</v>
      </c>
      <c r="AK55" s="143">
        <f t="array" ref="AK55">SUM(IF('Diário de Operações'!$O$4:$O$9938=Dinâmicas!AF55,IF('Diário de Operações'!$P$4:$P$9938=Dinâmicas!AE55,IF('Diário de Operações'!$U$4:$U$9938&lt;0,'Diário de Operações'!$U$4:$U$9938,"0"))))</f>
        <v>0</v>
      </c>
      <c r="AL55" s="142" t="e">
        <f>VLOOKUP(AH55,'Diário de Operações'!B:T,19,0)</f>
        <v>#N/A</v>
      </c>
      <c r="AM55" s="142" t="e">
        <f t="shared" si="4"/>
        <v>#N/A</v>
      </c>
      <c r="AN55" s="18" t="e">
        <f t="shared" si="3"/>
        <v>#N/A</v>
      </c>
      <c r="AO55" s="143">
        <f t="array" ref="AO55">MIN(IF('Diário de Operações'!$O$4:$O$9938=AF55,IF('Diário de Operações'!$P$4:$P$9938=Dinâmicas!AE55,'Diário de Operações'!$X$4:$X$9938)))</f>
        <v>0</v>
      </c>
      <c r="AP55" s="19" t="e">
        <f t="shared" si="2"/>
        <v>#N/A</v>
      </c>
      <c r="AS55"/>
    </row>
    <row r="56" spans="14:45" x14ac:dyDescent="0.3">
      <c r="N56"/>
      <c r="O56"/>
      <c r="S56"/>
      <c r="V56"/>
      <c r="Y56"/>
      <c r="Z56"/>
      <c r="AC56"/>
      <c r="AD56"/>
      <c r="AE56" s="16">
        <v>2025</v>
      </c>
      <c r="AF56" s="17">
        <v>2</v>
      </c>
      <c r="AG56" s="99">
        <f t="array" ref="AG56">MIN(IF('Diário de Operações'!$O$4:$O$9938=AF56,IF('Diário de Operações'!$P$4:$P$9938=Dinâmicas!AE56,'Diário de Operações'!$B$4:$B$9938)))</f>
        <v>0</v>
      </c>
      <c r="AH56" s="99">
        <f t="array" ref="AH56">MAX(IF('Diário de Operações'!$O$4:$O$9938=AF56,IF('Diário de Operações'!$P$4:$P$9938=Dinâmicas!AE56,'Diário de Operações'!$B$4:$B$9938)))</f>
        <v>0</v>
      </c>
      <c r="AI56" s="142" t="e">
        <f>VLOOKUP(AG56,'Diário de Operações'!B:T,18,0)</f>
        <v>#N/A</v>
      </c>
      <c r="AJ56" s="143">
        <f t="array" ref="AJ56">SUM(IF('Diário de Operações'!$O$4:$O$9938=Dinâmicas!AF56,IF('Diário de Operações'!$P$4:$P$9938=Dinâmicas!AE56,IF('Diário de Operações'!$U$4:$U$9938&gt;0,'Diário de Operações'!$U$4:$U$9938,"0"))))</f>
        <v>0</v>
      </c>
      <c r="AK56" s="143">
        <f t="array" ref="AK56">SUM(IF('Diário de Operações'!$O$4:$O$9938=Dinâmicas!AF56,IF('Diário de Operações'!$P$4:$P$9938=Dinâmicas!AE56,IF('Diário de Operações'!$U$4:$U$9938&lt;0,'Diário de Operações'!$U$4:$U$9938,"0"))))</f>
        <v>0</v>
      </c>
      <c r="AL56" s="142" t="e">
        <f>VLOOKUP(AH56,'Diário de Operações'!B:T,19,0)</f>
        <v>#N/A</v>
      </c>
      <c r="AM56" s="142" t="e">
        <f t="shared" si="4"/>
        <v>#N/A</v>
      </c>
      <c r="AN56" s="18" t="e">
        <f t="shared" si="3"/>
        <v>#N/A</v>
      </c>
      <c r="AO56" s="143">
        <f t="array" ref="AO56">MIN(IF('Diário de Operações'!$O$4:$O$9938=AF56,IF('Diário de Operações'!$P$4:$P$9938=Dinâmicas!AE56,'Diário de Operações'!$X$4:$X$9938)))</f>
        <v>0</v>
      </c>
      <c r="AP56" s="19" t="e">
        <f t="shared" si="2"/>
        <v>#N/A</v>
      </c>
      <c r="AS56"/>
    </row>
    <row r="57" spans="14:45" x14ac:dyDescent="0.3">
      <c r="N57"/>
      <c r="O57"/>
      <c r="S57"/>
      <c r="V57"/>
      <c r="Y57"/>
      <c r="Z57"/>
      <c r="AC57"/>
      <c r="AD57"/>
      <c r="AE57" s="16">
        <v>2025</v>
      </c>
      <c r="AF57" s="17">
        <v>3</v>
      </c>
      <c r="AG57" s="99">
        <f t="array" ref="AG57">MIN(IF('Diário de Operações'!$O$4:$O$9938=AF57,IF('Diário de Operações'!$P$4:$P$9938=Dinâmicas!AE57,'Diário de Operações'!$B$4:$B$9938)))</f>
        <v>0</v>
      </c>
      <c r="AH57" s="99">
        <f t="array" ref="AH57">MAX(IF('Diário de Operações'!$O$4:$O$9938=AF57,IF('Diário de Operações'!$P$4:$P$9938=Dinâmicas!AE57,'Diário de Operações'!$B$4:$B$9938)))</f>
        <v>0</v>
      </c>
      <c r="AI57" s="142" t="e">
        <f>VLOOKUP(AG57,'Diário de Operações'!B:T,18,0)</f>
        <v>#N/A</v>
      </c>
      <c r="AJ57" s="143">
        <f t="array" ref="AJ57">SUM(IF('Diário de Operações'!$O$4:$O$9938=Dinâmicas!AF57,IF('Diário de Operações'!$P$4:$P$9938=Dinâmicas!AE57,IF('Diário de Operações'!$U$4:$U$9938&gt;0,'Diário de Operações'!$U$4:$U$9938,"0"))))</f>
        <v>0</v>
      </c>
      <c r="AK57" s="143">
        <f t="array" ref="AK57">SUM(IF('Diário de Operações'!$O$4:$O$9938=Dinâmicas!AF57,IF('Diário de Operações'!$P$4:$P$9938=Dinâmicas!AE57,IF('Diário de Operações'!$U$4:$U$9938&lt;0,'Diário de Operações'!$U$4:$U$9938,"0"))))</f>
        <v>0</v>
      </c>
      <c r="AL57" s="142" t="e">
        <f>VLOOKUP(AH57,'Diário de Operações'!B:T,19,0)</f>
        <v>#N/A</v>
      </c>
      <c r="AM57" s="142" t="e">
        <f t="shared" si="4"/>
        <v>#N/A</v>
      </c>
      <c r="AN57" s="18" t="e">
        <f t="shared" si="3"/>
        <v>#N/A</v>
      </c>
      <c r="AO57" s="143">
        <f t="array" ref="AO57">MIN(IF('Diário de Operações'!$O$4:$O$9938=AF57,IF('Diário de Operações'!$P$4:$P$9938=Dinâmicas!AE57,'Diário de Operações'!$X$4:$X$9938)))</f>
        <v>0</v>
      </c>
      <c r="AP57" s="19" t="e">
        <f t="shared" si="2"/>
        <v>#N/A</v>
      </c>
      <c r="AS57"/>
    </row>
    <row r="58" spans="14:45" x14ac:dyDescent="0.3">
      <c r="N58"/>
      <c r="O58"/>
      <c r="S58"/>
      <c r="V58"/>
      <c r="Y58"/>
      <c r="Z58"/>
      <c r="AC58"/>
      <c r="AD58"/>
      <c r="AE58" s="16">
        <v>2025</v>
      </c>
      <c r="AF58" s="17">
        <v>4</v>
      </c>
      <c r="AG58" s="99">
        <f t="array" ref="AG58">MIN(IF('Diário de Operações'!$O$4:$O$9938=AF58,IF('Diário de Operações'!$P$4:$P$9938=Dinâmicas!AE58,'Diário de Operações'!$B$4:$B$9938)))</f>
        <v>0</v>
      </c>
      <c r="AH58" s="99">
        <f t="array" ref="AH58">MAX(IF('Diário de Operações'!$O$4:$O$9938=AF58,IF('Diário de Operações'!$P$4:$P$9938=Dinâmicas!AE58,'Diário de Operações'!$B$4:$B$9938)))</f>
        <v>0</v>
      </c>
      <c r="AI58" s="142" t="e">
        <f>VLOOKUP(AG58,'Diário de Operações'!B:T,18,0)</f>
        <v>#N/A</v>
      </c>
      <c r="AJ58" s="143">
        <f t="array" ref="AJ58">SUM(IF('Diário de Operações'!$O$4:$O$9938=Dinâmicas!AF58,IF('Diário de Operações'!$P$4:$P$9938=Dinâmicas!AE58,IF('Diário de Operações'!$U$4:$U$9938&gt;0,'Diário de Operações'!$U$4:$U$9938,"0"))))</f>
        <v>0</v>
      </c>
      <c r="AK58" s="143">
        <f t="array" ref="AK58">SUM(IF('Diário de Operações'!$O$4:$O$9938=Dinâmicas!AF58,IF('Diário de Operações'!$P$4:$P$9938=Dinâmicas!AE58,IF('Diário de Operações'!$U$4:$U$9938&lt;0,'Diário de Operações'!$U$4:$U$9938,"0"))))</f>
        <v>0</v>
      </c>
      <c r="AL58" s="142" t="e">
        <f>VLOOKUP(AH58,'Diário de Operações'!B:T,19,0)</f>
        <v>#N/A</v>
      </c>
      <c r="AM58" s="142" t="e">
        <f t="shared" si="4"/>
        <v>#N/A</v>
      </c>
      <c r="AN58" s="18" t="e">
        <f t="shared" si="3"/>
        <v>#N/A</v>
      </c>
      <c r="AO58" s="143">
        <f t="array" ref="AO58">MIN(IF('Diário de Operações'!$O$4:$O$9938=AF58,IF('Diário de Operações'!$P$4:$P$9938=Dinâmicas!AE58,'Diário de Operações'!$X$4:$X$9938)))</f>
        <v>0</v>
      </c>
      <c r="AP58" s="19" t="e">
        <f t="shared" si="2"/>
        <v>#N/A</v>
      </c>
      <c r="AS58"/>
    </row>
    <row r="59" spans="14:45" x14ac:dyDescent="0.3">
      <c r="N59"/>
      <c r="O59"/>
      <c r="S59"/>
      <c r="V59"/>
      <c r="Y59"/>
      <c r="Z59"/>
      <c r="AC59"/>
      <c r="AD59"/>
      <c r="AE59" s="16">
        <v>2025</v>
      </c>
      <c r="AF59" s="17">
        <v>5</v>
      </c>
      <c r="AG59" s="99">
        <f t="array" ref="AG59">MIN(IF('Diário de Operações'!$O$4:$O$9938=AF59,IF('Diário de Operações'!$P$4:$P$9938=Dinâmicas!AE59,'Diário de Operações'!$B$4:$B$9938)))</f>
        <v>0</v>
      </c>
      <c r="AH59" s="99">
        <f t="array" ref="AH59">MAX(IF('Diário de Operações'!$O$4:$O$9938=AF59,IF('Diário de Operações'!$P$4:$P$9938=Dinâmicas!AE59,'Diário de Operações'!$B$4:$B$9938)))</f>
        <v>0</v>
      </c>
      <c r="AI59" s="142" t="e">
        <f>VLOOKUP(AG59,'Diário de Operações'!B:T,18,0)</f>
        <v>#N/A</v>
      </c>
      <c r="AJ59" s="143">
        <f t="array" ref="AJ59">SUM(IF('Diário de Operações'!$O$4:$O$9938=Dinâmicas!AF59,IF('Diário de Operações'!$P$4:$P$9938=Dinâmicas!AE59,IF('Diário de Operações'!$U$4:$U$9938&gt;0,'Diário de Operações'!$U$4:$U$9938,"0"))))</f>
        <v>0</v>
      </c>
      <c r="AK59" s="143">
        <f t="array" ref="AK59">SUM(IF('Diário de Operações'!$O$4:$O$9938=Dinâmicas!AF59,IF('Diário de Operações'!$P$4:$P$9938=Dinâmicas!AE59,IF('Diário de Operações'!$U$4:$U$9938&lt;0,'Diário de Operações'!$U$4:$U$9938,"0"))))</f>
        <v>0</v>
      </c>
      <c r="AL59" s="142" t="e">
        <f>VLOOKUP(AH59,'Diário de Operações'!B:T,19,0)</f>
        <v>#N/A</v>
      </c>
      <c r="AM59" s="142" t="e">
        <f t="shared" si="4"/>
        <v>#N/A</v>
      </c>
      <c r="AN59" s="18" t="e">
        <f t="shared" si="3"/>
        <v>#N/A</v>
      </c>
      <c r="AO59" s="143">
        <f t="array" ref="AO59">MIN(IF('Diário de Operações'!$O$4:$O$9938=AF59,IF('Diário de Operações'!$P$4:$P$9938=Dinâmicas!AE59,'Diário de Operações'!$X$4:$X$9938)))</f>
        <v>0</v>
      </c>
      <c r="AP59" s="19" t="e">
        <f t="shared" si="2"/>
        <v>#N/A</v>
      </c>
      <c r="AS59"/>
    </row>
    <row r="60" spans="14:45" x14ac:dyDescent="0.3">
      <c r="N60"/>
      <c r="O60"/>
      <c r="S60"/>
      <c r="V60"/>
      <c r="Y60"/>
      <c r="Z60"/>
      <c r="AC60"/>
      <c r="AD60"/>
      <c r="AE60" s="16">
        <v>2025</v>
      </c>
      <c r="AF60" s="17">
        <v>6</v>
      </c>
      <c r="AG60" s="99">
        <f t="array" ref="AG60">MIN(IF('Diário de Operações'!$O$4:$O$9938=AF60,IF('Diário de Operações'!$P$4:$P$9938=Dinâmicas!AE60,'Diário de Operações'!$B$4:$B$9938)))</f>
        <v>0</v>
      </c>
      <c r="AH60" s="99">
        <f t="array" ref="AH60">MAX(IF('Diário de Operações'!$O$4:$O$9938=AF60,IF('Diário de Operações'!$P$4:$P$9938=Dinâmicas!AE60,'Diário de Operações'!$B$4:$B$9938)))</f>
        <v>0</v>
      </c>
      <c r="AI60" s="142" t="e">
        <f>VLOOKUP(AG60,'Diário de Operações'!B:T,18,0)</f>
        <v>#N/A</v>
      </c>
      <c r="AJ60" s="143">
        <f t="array" ref="AJ60">SUM(IF('Diário de Operações'!$O$4:$O$9938=Dinâmicas!AF60,IF('Diário de Operações'!$P$4:$P$9938=Dinâmicas!AE60,IF('Diário de Operações'!$U$4:$U$9938&gt;0,'Diário de Operações'!$U$4:$U$9938,"0"))))</f>
        <v>0</v>
      </c>
      <c r="AK60" s="143">
        <f t="array" ref="AK60">SUM(IF('Diário de Operações'!$O$4:$O$9938=Dinâmicas!AF60,IF('Diário de Operações'!$P$4:$P$9938=Dinâmicas!AE60,IF('Diário de Operações'!$U$4:$U$9938&lt;0,'Diário de Operações'!$U$4:$U$9938,"0"))))</f>
        <v>0</v>
      </c>
      <c r="AL60" s="142" t="e">
        <f>VLOOKUP(AH60,'Diário de Operações'!B:T,19,0)</f>
        <v>#N/A</v>
      </c>
      <c r="AM60" s="142" t="e">
        <f t="shared" si="4"/>
        <v>#N/A</v>
      </c>
      <c r="AN60" s="18" t="e">
        <f t="shared" si="3"/>
        <v>#N/A</v>
      </c>
      <c r="AO60" s="143">
        <f t="array" ref="AO60">MIN(IF('Diário de Operações'!$O$4:$O$9938=AF60,IF('Diário de Operações'!$P$4:$P$9938=Dinâmicas!AE60,'Diário de Operações'!$X$4:$X$9938)))</f>
        <v>0</v>
      </c>
      <c r="AP60" s="19" t="e">
        <f t="shared" si="2"/>
        <v>#N/A</v>
      </c>
      <c r="AS60"/>
    </row>
    <row r="61" spans="14:45" x14ac:dyDescent="0.3">
      <c r="N61"/>
      <c r="O61"/>
      <c r="S61"/>
      <c r="V61"/>
      <c r="Y61"/>
      <c r="Z61"/>
      <c r="AC61"/>
      <c r="AD61"/>
      <c r="AE61" s="16">
        <v>2025</v>
      </c>
      <c r="AF61" s="17">
        <v>7</v>
      </c>
      <c r="AG61" s="99">
        <f t="array" ref="AG61">MIN(IF('Diário de Operações'!$O$4:$O$9938=AF61,IF('Diário de Operações'!$P$4:$P$9938=Dinâmicas!AE61,'Diário de Operações'!$B$4:$B$9938)))</f>
        <v>0</v>
      </c>
      <c r="AH61" s="99">
        <f t="array" ref="AH61">MAX(IF('Diário de Operações'!$O$4:$O$9938=AF61,IF('Diário de Operações'!$P$4:$P$9938=Dinâmicas!AE61,'Diário de Operações'!$B$4:$B$9938)))</f>
        <v>0</v>
      </c>
      <c r="AI61" s="142" t="e">
        <f>VLOOKUP(AG61,'Diário de Operações'!B:T,18,0)</f>
        <v>#N/A</v>
      </c>
      <c r="AJ61" s="143">
        <f t="array" ref="AJ61">SUM(IF('Diário de Operações'!$O$4:$O$9938=Dinâmicas!AF61,IF('Diário de Operações'!$P$4:$P$9938=Dinâmicas!AE61,IF('Diário de Operações'!$U$4:$U$9938&gt;0,'Diário de Operações'!$U$4:$U$9938,"0"))))</f>
        <v>0</v>
      </c>
      <c r="AK61" s="143">
        <f t="array" ref="AK61">SUM(IF('Diário de Operações'!$O$4:$O$9938=Dinâmicas!AF61,IF('Diário de Operações'!$P$4:$P$9938=Dinâmicas!AE61,IF('Diário de Operações'!$U$4:$U$9938&lt;0,'Diário de Operações'!$U$4:$U$9938,"0"))))</f>
        <v>0</v>
      </c>
      <c r="AL61" s="142" t="e">
        <f>VLOOKUP(AH61,'Diário de Operações'!B:T,19,0)</f>
        <v>#N/A</v>
      </c>
      <c r="AM61" s="142" t="e">
        <f t="shared" si="4"/>
        <v>#N/A</v>
      </c>
      <c r="AN61" s="18" t="e">
        <f t="shared" si="3"/>
        <v>#N/A</v>
      </c>
      <c r="AO61" s="143">
        <f t="array" ref="AO61">MIN(IF('Diário de Operações'!$O$4:$O$9938=AF61,IF('Diário de Operações'!$P$4:$P$9938=Dinâmicas!AE61,'Diário de Operações'!$X$4:$X$9938)))</f>
        <v>0</v>
      </c>
      <c r="AP61" s="19" t="e">
        <f t="shared" si="2"/>
        <v>#N/A</v>
      </c>
      <c r="AS61"/>
    </row>
    <row r="62" spans="14:45" x14ac:dyDescent="0.3">
      <c r="N62"/>
      <c r="O62"/>
      <c r="S62"/>
      <c r="V62"/>
      <c r="Y62"/>
      <c r="Z62"/>
      <c r="AC62"/>
      <c r="AD62"/>
      <c r="AE62" s="16">
        <v>2025</v>
      </c>
      <c r="AF62" s="17">
        <v>8</v>
      </c>
      <c r="AG62" s="99">
        <f t="array" ref="AG62">MIN(IF('Diário de Operações'!$O$4:$O$9938=AF62,IF('Diário de Operações'!$P$4:$P$9938=Dinâmicas!AE62,'Diário de Operações'!$B$4:$B$9938)))</f>
        <v>0</v>
      </c>
      <c r="AH62" s="99">
        <f t="array" ref="AH62">MAX(IF('Diário de Operações'!$O$4:$O$9938=AF62,IF('Diário de Operações'!$P$4:$P$9938=Dinâmicas!AE62,'Diário de Operações'!$B$4:$B$9938)))</f>
        <v>0</v>
      </c>
      <c r="AI62" s="142" t="e">
        <f>VLOOKUP(AG62,'Diário de Operações'!B:T,18,0)</f>
        <v>#N/A</v>
      </c>
      <c r="AJ62" s="143">
        <f t="array" ref="AJ62">SUM(IF('Diário de Operações'!$O$4:$O$9938=Dinâmicas!AF62,IF('Diário de Operações'!$P$4:$P$9938=Dinâmicas!AE62,IF('Diário de Operações'!$U$4:$U$9938&gt;0,'Diário de Operações'!$U$4:$U$9938,"0"))))</f>
        <v>0</v>
      </c>
      <c r="AK62" s="143">
        <f t="array" ref="AK62">SUM(IF('Diário de Operações'!$O$4:$O$9938=Dinâmicas!AF62,IF('Diário de Operações'!$P$4:$P$9938=Dinâmicas!AE62,IF('Diário de Operações'!$U$4:$U$9938&lt;0,'Diário de Operações'!$U$4:$U$9938,"0"))))</f>
        <v>0</v>
      </c>
      <c r="AL62" s="142" t="e">
        <f>VLOOKUP(AH62,'Diário de Operações'!B:T,19,0)</f>
        <v>#N/A</v>
      </c>
      <c r="AM62" s="142" t="e">
        <f t="shared" si="4"/>
        <v>#N/A</v>
      </c>
      <c r="AN62" s="18" t="e">
        <f t="shared" si="3"/>
        <v>#N/A</v>
      </c>
      <c r="AO62" s="143">
        <f t="array" ref="AO62">MIN(IF('Diário de Operações'!$O$4:$O$9938=AF62,IF('Diário de Operações'!$P$4:$P$9938=Dinâmicas!AE62,'Diário de Operações'!$X$4:$X$9938)))</f>
        <v>0</v>
      </c>
      <c r="AP62" s="19" t="e">
        <f t="shared" si="2"/>
        <v>#N/A</v>
      </c>
      <c r="AS62"/>
    </row>
    <row r="63" spans="14:45" x14ac:dyDescent="0.3">
      <c r="N63"/>
      <c r="O63"/>
      <c r="S63"/>
      <c r="V63"/>
      <c r="Y63"/>
      <c r="Z63"/>
      <c r="AC63"/>
      <c r="AD63"/>
      <c r="AE63" s="16">
        <v>2025</v>
      </c>
      <c r="AF63" s="17">
        <v>9</v>
      </c>
      <c r="AG63" s="99">
        <f t="array" ref="AG63">MIN(IF('Diário de Operações'!$O$4:$O$9938=AF63,IF('Diário de Operações'!$P$4:$P$9938=Dinâmicas!AE63,'Diário de Operações'!$B$4:$B$9938)))</f>
        <v>0</v>
      </c>
      <c r="AH63" s="99">
        <f t="array" ref="AH63">MAX(IF('Diário de Operações'!$O$4:$O$9938=AF63,IF('Diário de Operações'!$P$4:$P$9938=Dinâmicas!AE63,'Diário de Operações'!$B$4:$B$9938)))</f>
        <v>0</v>
      </c>
      <c r="AI63" s="142" t="e">
        <f>VLOOKUP(AG63,'Diário de Operações'!B:T,18,0)</f>
        <v>#N/A</v>
      </c>
      <c r="AJ63" s="143">
        <f t="array" ref="AJ63">SUM(IF('Diário de Operações'!$O$4:$O$9938=Dinâmicas!AF63,IF('Diário de Operações'!$P$4:$P$9938=Dinâmicas!AE63,IF('Diário de Operações'!$U$4:$U$9938&gt;0,'Diário de Operações'!$U$4:$U$9938,"0"))))</f>
        <v>0</v>
      </c>
      <c r="AK63" s="143">
        <f t="array" ref="AK63">SUM(IF('Diário de Operações'!$O$4:$O$9938=Dinâmicas!AF63,IF('Diário de Operações'!$P$4:$P$9938=Dinâmicas!AE63,IF('Diário de Operações'!$U$4:$U$9938&lt;0,'Diário de Operações'!$U$4:$U$9938,"0"))))</f>
        <v>0</v>
      </c>
      <c r="AL63" s="142" t="e">
        <f>VLOOKUP(AH63,'Diário de Operações'!B:T,19,0)</f>
        <v>#N/A</v>
      </c>
      <c r="AM63" s="142" t="e">
        <f t="shared" si="4"/>
        <v>#N/A</v>
      </c>
      <c r="AN63" s="18" t="e">
        <f t="shared" si="3"/>
        <v>#N/A</v>
      </c>
      <c r="AO63" s="143">
        <f t="array" ref="AO63">MIN(IF('Diário de Operações'!$O$4:$O$9938=AF63,IF('Diário de Operações'!$P$4:$P$9938=Dinâmicas!AE63,'Diário de Operações'!$X$4:$X$9938)))</f>
        <v>0</v>
      </c>
      <c r="AP63" s="19" t="e">
        <f t="shared" si="2"/>
        <v>#N/A</v>
      </c>
      <c r="AS63"/>
    </row>
    <row r="64" spans="14:45" x14ac:dyDescent="0.3">
      <c r="N64"/>
      <c r="O64"/>
      <c r="S64"/>
      <c r="V64"/>
      <c r="Y64"/>
      <c r="Z64"/>
      <c r="AC64"/>
      <c r="AD64"/>
      <c r="AE64" s="16">
        <v>2025</v>
      </c>
      <c r="AF64" s="17">
        <v>10</v>
      </c>
      <c r="AG64" s="99">
        <f t="array" ref="AG64">MIN(IF('Diário de Operações'!$O$4:$O$9938=AF64,IF('Diário de Operações'!$P$4:$P$9938=Dinâmicas!AE64,'Diário de Operações'!$B$4:$B$9938)))</f>
        <v>0</v>
      </c>
      <c r="AH64" s="99">
        <f t="array" ref="AH64">MAX(IF('Diário de Operações'!$O$4:$O$9938=AF64,IF('Diário de Operações'!$P$4:$P$9938=Dinâmicas!AE64,'Diário de Operações'!$B$4:$B$9938)))</f>
        <v>0</v>
      </c>
      <c r="AI64" s="142" t="e">
        <f>VLOOKUP(AG64,'Diário de Operações'!B:T,18,0)</f>
        <v>#N/A</v>
      </c>
      <c r="AJ64" s="143">
        <f t="array" ref="AJ64">SUM(IF('Diário de Operações'!$O$4:$O$9938=Dinâmicas!AF64,IF('Diário de Operações'!$P$4:$P$9938=Dinâmicas!AE64,IF('Diário de Operações'!$U$4:$U$9938&gt;0,'Diário de Operações'!$U$4:$U$9938,"0"))))</f>
        <v>0</v>
      </c>
      <c r="AK64" s="143">
        <f t="array" ref="AK64">SUM(IF('Diário de Operações'!$O$4:$O$9938=Dinâmicas!AF64,IF('Diário de Operações'!$P$4:$P$9938=Dinâmicas!AE64,IF('Diário de Operações'!$U$4:$U$9938&lt;0,'Diário de Operações'!$U$4:$U$9938,"0"))))</f>
        <v>0</v>
      </c>
      <c r="AL64" s="142" t="e">
        <f>VLOOKUP(AH64,'Diário de Operações'!B:T,19,0)</f>
        <v>#N/A</v>
      </c>
      <c r="AM64" s="142" t="e">
        <f t="shared" si="4"/>
        <v>#N/A</v>
      </c>
      <c r="AN64" s="18" t="e">
        <f t="shared" si="3"/>
        <v>#N/A</v>
      </c>
      <c r="AO64" s="143">
        <f t="array" ref="AO64">MIN(IF('Diário de Operações'!$O$4:$O$9938=AF64,IF('Diário de Operações'!$P$4:$P$9938=Dinâmicas!AE64,'Diário de Operações'!$X$4:$X$9938)))</f>
        <v>0</v>
      </c>
      <c r="AP64" s="19" t="e">
        <f t="shared" si="2"/>
        <v>#N/A</v>
      </c>
      <c r="AS64"/>
    </row>
    <row r="65" spans="14:45" x14ac:dyDescent="0.3">
      <c r="N65"/>
      <c r="O65"/>
      <c r="S65"/>
      <c r="V65"/>
      <c r="Y65"/>
      <c r="Z65"/>
      <c r="AC65"/>
      <c r="AD65"/>
      <c r="AE65" s="16">
        <v>2025</v>
      </c>
      <c r="AF65" s="17">
        <v>11</v>
      </c>
      <c r="AG65" s="99">
        <f t="array" ref="AG65">MIN(IF('Diário de Operações'!$O$4:$O$9938=AF65,IF('Diário de Operações'!$P$4:$P$9938=Dinâmicas!AE65,'Diário de Operações'!$B$4:$B$9938)))</f>
        <v>0</v>
      </c>
      <c r="AH65" s="99">
        <f t="array" ref="AH65">MAX(IF('Diário de Operações'!$O$4:$O$9938=AF65,IF('Diário de Operações'!$P$4:$P$9938=Dinâmicas!AE65,'Diário de Operações'!$B$4:$B$9938)))</f>
        <v>0</v>
      </c>
      <c r="AI65" s="142" t="e">
        <f>VLOOKUP(AG65,'Diário de Operações'!B:T,18,0)</f>
        <v>#N/A</v>
      </c>
      <c r="AJ65" s="143">
        <f t="array" ref="AJ65">SUM(IF('Diário de Operações'!$O$4:$O$9938=Dinâmicas!AF65,IF('Diário de Operações'!$P$4:$P$9938=Dinâmicas!AE65,IF('Diário de Operações'!$U$4:$U$9938&gt;0,'Diário de Operações'!$U$4:$U$9938,"0"))))</f>
        <v>0</v>
      </c>
      <c r="AK65" s="143">
        <f t="array" ref="AK65">SUM(IF('Diário de Operações'!$O$4:$O$9938=Dinâmicas!AF65,IF('Diário de Operações'!$P$4:$P$9938=Dinâmicas!AE65,IF('Diário de Operações'!$U$4:$U$9938&lt;0,'Diário de Operações'!$U$4:$U$9938,"0"))))</f>
        <v>0</v>
      </c>
      <c r="AL65" s="142" t="e">
        <f>VLOOKUP(AH65,'Diário de Operações'!B:T,19,0)</f>
        <v>#N/A</v>
      </c>
      <c r="AM65" s="142" t="e">
        <f t="shared" si="4"/>
        <v>#N/A</v>
      </c>
      <c r="AN65" s="18" t="e">
        <f t="shared" si="3"/>
        <v>#N/A</v>
      </c>
      <c r="AO65" s="143">
        <f t="array" ref="AO65">MIN(IF('Diário de Operações'!$O$4:$O$9938=AF65,IF('Diário de Operações'!$P$4:$P$9938=Dinâmicas!AE65,'Diário de Operações'!$X$4:$X$9938)))</f>
        <v>0</v>
      </c>
      <c r="AP65" s="19" t="e">
        <f t="shared" si="2"/>
        <v>#N/A</v>
      </c>
      <c r="AS65"/>
    </row>
    <row r="66" spans="14:45" x14ac:dyDescent="0.3">
      <c r="N66"/>
      <c r="O66"/>
      <c r="S66"/>
      <c r="V66"/>
      <c r="Y66"/>
      <c r="Z66"/>
      <c r="AC66"/>
      <c r="AD66"/>
      <c r="AE66" s="16">
        <v>2025</v>
      </c>
      <c r="AF66" s="17">
        <v>12</v>
      </c>
      <c r="AG66" s="99">
        <f t="array" ref="AG66">MIN(IF('Diário de Operações'!$O$4:$O$9938=AF66,IF('Diário de Operações'!$P$4:$P$9938=Dinâmicas!AE66,'Diário de Operações'!$B$4:$B$9938)))</f>
        <v>0</v>
      </c>
      <c r="AH66" s="99">
        <f t="array" ref="AH66">MAX(IF('Diário de Operações'!$O$4:$O$9938=AF66,IF('Diário de Operações'!$P$4:$P$9938=Dinâmicas!AE66,'Diário de Operações'!$B$4:$B$9938)))</f>
        <v>0</v>
      </c>
      <c r="AI66" s="142" t="e">
        <f>VLOOKUP(AG66,'Diário de Operações'!B:T,18,0)</f>
        <v>#N/A</v>
      </c>
      <c r="AJ66" s="143">
        <f t="array" ref="AJ66">SUM(IF('Diário de Operações'!$O$4:$O$9938=Dinâmicas!AF66,IF('Diário de Operações'!$P$4:$P$9938=Dinâmicas!AE66,IF('Diário de Operações'!$U$4:$U$9938&gt;0,'Diário de Operações'!$U$4:$U$9938,"0"))))</f>
        <v>0</v>
      </c>
      <c r="AK66" s="143">
        <f t="array" ref="AK66">SUM(IF('Diário de Operações'!$O$4:$O$9938=Dinâmicas!AF66,IF('Diário de Operações'!$P$4:$P$9938=Dinâmicas!AE66,IF('Diário de Operações'!$U$4:$U$9938&lt;0,'Diário de Operações'!$U$4:$U$9938,"0"))))</f>
        <v>0</v>
      </c>
      <c r="AL66" s="142" t="e">
        <f>VLOOKUP(AH66,'Diário de Operações'!B:T,19,0)</f>
        <v>#N/A</v>
      </c>
      <c r="AM66" s="142" t="e">
        <f t="shared" si="4"/>
        <v>#N/A</v>
      </c>
      <c r="AN66" s="18" t="e">
        <f t="shared" si="3"/>
        <v>#N/A</v>
      </c>
      <c r="AO66" s="143">
        <f t="array" ref="AO66">MIN(IF('Diário de Operações'!$O$4:$O$9938=AF66,IF('Diário de Operações'!$P$4:$P$9938=Dinâmicas!AE66,'Diário de Operações'!$X$4:$X$9938)))</f>
        <v>0</v>
      </c>
      <c r="AP66" s="19" t="e">
        <f t="shared" si="2"/>
        <v>#N/A</v>
      </c>
      <c r="AS66"/>
    </row>
    <row r="67" spans="14:45" x14ac:dyDescent="0.3">
      <c r="N67"/>
      <c r="O67"/>
      <c r="S67"/>
      <c r="V67"/>
      <c r="Y67"/>
      <c r="Z67"/>
      <c r="AC67"/>
      <c r="AD67"/>
      <c r="AE67" s="16">
        <v>2026</v>
      </c>
      <c r="AF67" s="17">
        <v>1</v>
      </c>
      <c r="AG67" s="99">
        <f t="array" ref="AG67">MIN(IF('Diário de Operações'!$O$4:$O$9938=AF67,IF('Diário de Operações'!$P$4:$P$9938=Dinâmicas!AE67,'Diário de Operações'!$B$4:$B$9938)))</f>
        <v>0</v>
      </c>
      <c r="AH67" s="99">
        <f t="array" ref="AH67">MAX(IF('Diário de Operações'!$O$4:$O$9938=AF67,IF('Diário de Operações'!$P$4:$P$9938=Dinâmicas!AE67,'Diário de Operações'!$B$4:$B$9938)))</f>
        <v>0</v>
      </c>
      <c r="AI67" s="142" t="e">
        <f>VLOOKUP(AG67,'Diário de Operações'!B:T,18,0)</f>
        <v>#N/A</v>
      </c>
      <c r="AJ67" s="143">
        <f t="array" ref="AJ67">SUM(IF('Diário de Operações'!$O$4:$O$9938=Dinâmicas!AF67,IF('Diário de Operações'!$P$4:$P$9938=Dinâmicas!AE67,IF('Diário de Operações'!$U$4:$U$9938&gt;0,'Diário de Operações'!$U$4:$U$9938,"0"))))</f>
        <v>0</v>
      </c>
      <c r="AK67" s="143">
        <f t="array" ref="AK67">SUM(IF('Diário de Operações'!$O$4:$O$9938=Dinâmicas!AF67,IF('Diário de Operações'!$P$4:$P$9938=Dinâmicas!AE67,IF('Diário de Operações'!$U$4:$U$9938&lt;0,'Diário de Operações'!$U$4:$U$9938,"0"))))</f>
        <v>0</v>
      </c>
      <c r="AL67" s="142" t="e">
        <f>VLOOKUP(AH67,'Diário de Operações'!B:T,19,0)</f>
        <v>#N/A</v>
      </c>
      <c r="AM67" s="142" t="e">
        <f t="shared" ref="AM67:AM98" si="5">IF(AG66=AH66,AL67-(AJ67+AK67),(AL67-AI67)-(AJ67+AK67))</f>
        <v>#N/A</v>
      </c>
      <c r="AN67" s="18" t="e">
        <f t="shared" si="3"/>
        <v>#N/A</v>
      </c>
      <c r="AO67" s="143">
        <f t="array" ref="AO67">MIN(IF('Diário de Operações'!$O$4:$O$9938=AF67,IF('Diário de Operações'!$P$4:$P$9938=Dinâmicas!AE67,'Diário de Operações'!$X$4:$X$9938)))</f>
        <v>0</v>
      </c>
      <c r="AP67" s="19" t="e">
        <f t="shared" si="2"/>
        <v>#N/A</v>
      </c>
      <c r="AS67"/>
    </row>
    <row r="68" spans="14:45" x14ac:dyDescent="0.3">
      <c r="N68"/>
      <c r="O68"/>
      <c r="S68"/>
      <c r="V68"/>
      <c r="Y68"/>
      <c r="Z68"/>
      <c r="AC68"/>
      <c r="AD68"/>
      <c r="AE68" s="16">
        <v>2026</v>
      </c>
      <c r="AF68" s="17">
        <v>2</v>
      </c>
      <c r="AG68" s="99">
        <f t="array" ref="AG68">MIN(IF('Diário de Operações'!$O$4:$O$9938=AF68,IF('Diário de Operações'!$P$4:$P$9938=Dinâmicas!AE68,'Diário de Operações'!$B$4:$B$9938)))</f>
        <v>0</v>
      </c>
      <c r="AH68" s="99">
        <f t="array" ref="AH68">MAX(IF('Diário de Operações'!$O$4:$O$9938=AF68,IF('Diário de Operações'!$P$4:$P$9938=Dinâmicas!AE68,'Diário de Operações'!$B$4:$B$9938)))</f>
        <v>0</v>
      </c>
      <c r="AI68" s="142" t="e">
        <f>VLOOKUP(AG68,'Diário de Operações'!B:T,18,0)</f>
        <v>#N/A</v>
      </c>
      <c r="AJ68" s="143">
        <f t="array" ref="AJ68">SUM(IF('Diário de Operações'!$O$4:$O$9938=Dinâmicas!AF68,IF('Diário de Operações'!$P$4:$P$9938=Dinâmicas!AE68,IF('Diário de Operações'!$U$4:$U$9938&gt;0,'Diário de Operações'!$U$4:$U$9938,"0"))))</f>
        <v>0</v>
      </c>
      <c r="AK68" s="143">
        <f t="array" ref="AK68">SUM(IF('Diário de Operações'!$O$4:$O$9938=Dinâmicas!AF68,IF('Diário de Operações'!$P$4:$P$9938=Dinâmicas!AE68,IF('Diário de Operações'!$U$4:$U$9938&lt;0,'Diário de Operações'!$U$4:$U$9938,"0"))))</f>
        <v>0</v>
      </c>
      <c r="AL68" s="142" t="e">
        <f>VLOOKUP(AH68,'Diário de Operações'!B:T,19,0)</f>
        <v>#N/A</v>
      </c>
      <c r="AM68" s="142" t="e">
        <f t="shared" si="5"/>
        <v>#N/A</v>
      </c>
      <c r="AN68" s="18" t="e">
        <f t="shared" si="3"/>
        <v>#N/A</v>
      </c>
      <c r="AO68" s="143">
        <f t="array" ref="AO68">MIN(IF('Diário de Operações'!$O$4:$O$9938=AF68,IF('Diário de Operações'!$P$4:$P$9938=Dinâmicas!AE68,'Diário de Operações'!$X$4:$X$9938)))</f>
        <v>0</v>
      </c>
      <c r="AP68" s="19" t="e">
        <f t="shared" ref="AP68:AP131" si="6">((AM68/AO68)/100)*-1</f>
        <v>#N/A</v>
      </c>
      <c r="AS68"/>
    </row>
    <row r="69" spans="14:45" x14ac:dyDescent="0.3">
      <c r="N69"/>
      <c r="O69"/>
      <c r="S69"/>
      <c r="V69"/>
      <c r="Y69"/>
      <c r="Z69"/>
      <c r="AC69"/>
      <c r="AD69"/>
      <c r="AE69" s="16">
        <v>2026</v>
      </c>
      <c r="AF69" s="17">
        <v>3</v>
      </c>
      <c r="AG69" s="99">
        <f t="array" ref="AG69">MIN(IF('Diário de Operações'!$O$4:$O$9938=AF69,IF('Diário de Operações'!$P$4:$P$9938=Dinâmicas!AE69,'Diário de Operações'!$B$4:$B$9938)))</f>
        <v>0</v>
      </c>
      <c r="AH69" s="99">
        <f t="array" ref="AH69">MAX(IF('Diário de Operações'!$O$4:$O$9938=AF69,IF('Diário de Operações'!$P$4:$P$9938=Dinâmicas!AE69,'Diário de Operações'!$B$4:$B$9938)))</f>
        <v>0</v>
      </c>
      <c r="AI69" s="142" t="e">
        <f>VLOOKUP(AG69,'Diário de Operações'!B:T,18,0)</f>
        <v>#N/A</v>
      </c>
      <c r="AJ69" s="143">
        <f t="array" ref="AJ69">SUM(IF('Diário de Operações'!$O$4:$O$9938=Dinâmicas!AF69,IF('Diário de Operações'!$P$4:$P$9938=Dinâmicas!AE69,IF('Diário de Operações'!$U$4:$U$9938&gt;0,'Diário de Operações'!$U$4:$U$9938,"0"))))</f>
        <v>0</v>
      </c>
      <c r="AK69" s="143">
        <f t="array" ref="AK69">SUM(IF('Diário de Operações'!$O$4:$O$9938=Dinâmicas!AF69,IF('Diário de Operações'!$P$4:$P$9938=Dinâmicas!AE69,IF('Diário de Operações'!$U$4:$U$9938&lt;0,'Diário de Operações'!$U$4:$U$9938,"0"))))</f>
        <v>0</v>
      </c>
      <c r="AL69" s="142" t="e">
        <f>VLOOKUP(AH69,'Diário de Operações'!B:T,19,0)</f>
        <v>#N/A</v>
      </c>
      <c r="AM69" s="142" t="e">
        <f t="shared" si="5"/>
        <v>#N/A</v>
      </c>
      <c r="AN69" s="18" t="e">
        <f t="shared" si="3"/>
        <v>#N/A</v>
      </c>
      <c r="AO69" s="143">
        <f t="array" ref="AO69">MIN(IF('Diário de Operações'!$O$4:$O$9938=AF69,IF('Diário de Operações'!$P$4:$P$9938=Dinâmicas!AE69,'Diário de Operações'!$X$4:$X$9938)))</f>
        <v>0</v>
      </c>
      <c r="AP69" s="19" t="e">
        <f t="shared" si="6"/>
        <v>#N/A</v>
      </c>
      <c r="AS69"/>
    </row>
    <row r="70" spans="14:45" x14ac:dyDescent="0.3">
      <c r="N70"/>
      <c r="O70"/>
      <c r="S70"/>
      <c r="V70"/>
      <c r="Y70"/>
      <c r="Z70"/>
      <c r="AC70"/>
      <c r="AD70"/>
      <c r="AE70" s="16">
        <v>2026</v>
      </c>
      <c r="AF70" s="17">
        <v>4</v>
      </c>
      <c r="AG70" s="99">
        <f t="array" ref="AG70">MIN(IF('Diário de Operações'!$O$4:$O$9938=AF70,IF('Diário de Operações'!$P$4:$P$9938=Dinâmicas!AE70,'Diário de Operações'!$B$4:$B$9938)))</f>
        <v>0</v>
      </c>
      <c r="AH70" s="99">
        <f t="array" ref="AH70">MAX(IF('Diário de Operações'!$O$4:$O$9938=AF70,IF('Diário de Operações'!$P$4:$P$9938=Dinâmicas!AE70,'Diário de Operações'!$B$4:$B$9938)))</f>
        <v>0</v>
      </c>
      <c r="AI70" s="142" t="e">
        <f>VLOOKUP(AG70,'Diário de Operações'!B:T,18,0)</f>
        <v>#N/A</v>
      </c>
      <c r="AJ70" s="143">
        <f t="array" ref="AJ70">SUM(IF('Diário de Operações'!$O$4:$O$9938=Dinâmicas!AF70,IF('Diário de Operações'!$P$4:$P$9938=Dinâmicas!AE70,IF('Diário de Operações'!$U$4:$U$9938&gt;0,'Diário de Operações'!$U$4:$U$9938,"0"))))</f>
        <v>0</v>
      </c>
      <c r="AK70" s="143">
        <f t="array" ref="AK70">SUM(IF('Diário de Operações'!$O$4:$O$9938=Dinâmicas!AF70,IF('Diário de Operações'!$P$4:$P$9938=Dinâmicas!AE70,IF('Diário de Operações'!$U$4:$U$9938&lt;0,'Diário de Operações'!$U$4:$U$9938,"0"))))</f>
        <v>0</v>
      </c>
      <c r="AL70" s="142" t="e">
        <f>VLOOKUP(AH70,'Diário de Operações'!B:T,19,0)</f>
        <v>#N/A</v>
      </c>
      <c r="AM70" s="142" t="e">
        <f t="shared" si="5"/>
        <v>#N/A</v>
      </c>
      <c r="AN70" s="18" t="e">
        <f t="shared" si="3"/>
        <v>#N/A</v>
      </c>
      <c r="AO70" s="143">
        <f t="array" ref="AO70">MIN(IF('Diário de Operações'!$O$4:$O$9938=AF70,IF('Diário de Operações'!$P$4:$P$9938=Dinâmicas!AE70,'Diário de Operações'!$X$4:$X$9938)))</f>
        <v>0</v>
      </c>
      <c r="AP70" s="19" t="e">
        <f t="shared" si="6"/>
        <v>#N/A</v>
      </c>
      <c r="AS70"/>
    </row>
    <row r="71" spans="14:45" x14ac:dyDescent="0.3">
      <c r="N71"/>
      <c r="O71"/>
      <c r="S71"/>
      <c r="V71"/>
      <c r="Y71"/>
      <c r="Z71"/>
      <c r="AC71"/>
      <c r="AD71"/>
      <c r="AE71" s="16">
        <v>2026</v>
      </c>
      <c r="AF71" s="17">
        <v>5</v>
      </c>
      <c r="AG71" s="99">
        <f t="array" ref="AG71">MIN(IF('Diário de Operações'!$O$4:$O$9938=AF71,IF('Diário de Operações'!$P$4:$P$9938=Dinâmicas!AE71,'Diário de Operações'!$B$4:$B$9938)))</f>
        <v>0</v>
      </c>
      <c r="AH71" s="99">
        <f t="array" ref="AH71">MAX(IF('Diário de Operações'!$O$4:$O$9938=AF71,IF('Diário de Operações'!$P$4:$P$9938=Dinâmicas!AE71,'Diário de Operações'!$B$4:$B$9938)))</f>
        <v>0</v>
      </c>
      <c r="AI71" s="142" t="e">
        <f>VLOOKUP(AG71,'Diário de Operações'!B:T,18,0)</f>
        <v>#N/A</v>
      </c>
      <c r="AJ71" s="143">
        <f t="array" ref="AJ71">SUM(IF('Diário de Operações'!$O$4:$O$9938=Dinâmicas!AF71,IF('Diário de Operações'!$P$4:$P$9938=Dinâmicas!AE71,IF('Diário de Operações'!$U$4:$U$9938&gt;0,'Diário de Operações'!$U$4:$U$9938,"0"))))</f>
        <v>0</v>
      </c>
      <c r="AK71" s="143">
        <f t="array" ref="AK71">SUM(IF('Diário de Operações'!$O$4:$O$9938=Dinâmicas!AF71,IF('Diário de Operações'!$P$4:$P$9938=Dinâmicas!AE71,IF('Diário de Operações'!$U$4:$U$9938&lt;0,'Diário de Operações'!$U$4:$U$9938,"0"))))</f>
        <v>0</v>
      </c>
      <c r="AL71" s="142" t="e">
        <f>VLOOKUP(AH71,'Diário de Operações'!B:T,19,0)</f>
        <v>#N/A</v>
      </c>
      <c r="AM71" s="142" t="e">
        <f t="shared" si="5"/>
        <v>#N/A</v>
      </c>
      <c r="AN71" s="18" t="e">
        <f t="shared" si="3"/>
        <v>#N/A</v>
      </c>
      <c r="AO71" s="143">
        <f t="array" ref="AO71">MIN(IF('Diário de Operações'!$O$4:$O$9938=AF71,IF('Diário de Operações'!$P$4:$P$9938=Dinâmicas!AE71,'Diário de Operações'!$X$4:$X$9938)))</f>
        <v>0</v>
      </c>
      <c r="AP71" s="19" t="e">
        <f t="shared" si="6"/>
        <v>#N/A</v>
      </c>
      <c r="AS71"/>
    </row>
    <row r="72" spans="14:45" x14ac:dyDescent="0.3">
      <c r="N72"/>
      <c r="O72"/>
      <c r="S72"/>
      <c r="V72"/>
      <c r="Y72"/>
      <c r="Z72"/>
      <c r="AC72"/>
      <c r="AD72"/>
      <c r="AE72" s="16">
        <v>2026</v>
      </c>
      <c r="AF72" s="17">
        <v>6</v>
      </c>
      <c r="AG72" s="99">
        <f t="array" ref="AG72">MIN(IF('Diário de Operações'!$O$4:$O$9938=AF72,IF('Diário de Operações'!$P$4:$P$9938=Dinâmicas!AE72,'Diário de Operações'!$B$4:$B$9938)))</f>
        <v>0</v>
      </c>
      <c r="AH72" s="99">
        <f t="array" ref="AH72">MAX(IF('Diário de Operações'!$O$4:$O$9938=AF72,IF('Diário de Operações'!$P$4:$P$9938=Dinâmicas!AE72,'Diário de Operações'!$B$4:$B$9938)))</f>
        <v>0</v>
      </c>
      <c r="AI72" s="142" t="e">
        <f>VLOOKUP(AG72,'Diário de Operações'!B:T,18,0)</f>
        <v>#N/A</v>
      </c>
      <c r="AJ72" s="143">
        <f t="array" ref="AJ72">SUM(IF('Diário de Operações'!$O$4:$O$9938=Dinâmicas!AF72,IF('Diário de Operações'!$P$4:$P$9938=Dinâmicas!AE72,IF('Diário de Operações'!$U$4:$U$9938&gt;0,'Diário de Operações'!$U$4:$U$9938,"0"))))</f>
        <v>0</v>
      </c>
      <c r="AK72" s="143">
        <f t="array" ref="AK72">SUM(IF('Diário de Operações'!$O$4:$O$9938=Dinâmicas!AF72,IF('Diário de Operações'!$P$4:$P$9938=Dinâmicas!AE72,IF('Diário de Operações'!$U$4:$U$9938&lt;0,'Diário de Operações'!$U$4:$U$9938,"0"))))</f>
        <v>0</v>
      </c>
      <c r="AL72" s="142" t="e">
        <f>VLOOKUP(AH72,'Diário de Operações'!B:T,19,0)</f>
        <v>#N/A</v>
      </c>
      <c r="AM72" s="142" t="e">
        <f t="shared" si="5"/>
        <v>#N/A</v>
      </c>
      <c r="AN72" s="18" t="e">
        <f t="shared" si="3"/>
        <v>#N/A</v>
      </c>
      <c r="AO72" s="143">
        <f t="array" ref="AO72">MIN(IF('Diário de Operações'!$O$4:$O$9938=AF72,IF('Diário de Operações'!$P$4:$P$9938=Dinâmicas!AE72,'Diário de Operações'!$X$4:$X$9938)))</f>
        <v>0</v>
      </c>
      <c r="AP72" s="19" t="e">
        <f t="shared" si="6"/>
        <v>#N/A</v>
      </c>
      <c r="AS72"/>
    </row>
    <row r="73" spans="14:45" x14ac:dyDescent="0.3">
      <c r="N73"/>
      <c r="O73"/>
      <c r="S73"/>
      <c r="V73"/>
      <c r="Y73"/>
      <c r="Z73"/>
      <c r="AC73"/>
      <c r="AD73"/>
      <c r="AE73" s="16">
        <v>2026</v>
      </c>
      <c r="AF73" s="17">
        <v>7</v>
      </c>
      <c r="AG73" s="99">
        <f t="array" ref="AG73">MIN(IF('Diário de Operações'!$O$4:$O$9938=AF73,IF('Diário de Operações'!$P$4:$P$9938=Dinâmicas!AE73,'Diário de Operações'!$B$4:$B$9938)))</f>
        <v>0</v>
      </c>
      <c r="AH73" s="99">
        <f t="array" ref="AH73">MAX(IF('Diário de Operações'!$O$4:$O$9938=AF73,IF('Diário de Operações'!$P$4:$P$9938=Dinâmicas!AE73,'Diário de Operações'!$B$4:$B$9938)))</f>
        <v>0</v>
      </c>
      <c r="AI73" s="142" t="e">
        <f>VLOOKUP(AG73,'Diário de Operações'!B:T,18,0)</f>
        <v>#N/A</v>
      </c>
      <c r="AJ73" s="143">
        <f t="array" ref="AJ73">SUM(IF('Diário de Operações'!$O$4:$O$9938=Dinâmicas!AF73,IF('Diário de Operações'!$P$4:$P$9938=Dinâmicas!AE73,IF('Diário de Operações'!$U$4:$U$9938&gt;0,'Diário de Operações'!$U$4:$U$9938,"0"))))</f>
        <v>0</v>
      </c>
      <c r="AK73" s="143">
        <f t="array" ref="AK73">SUM(IF('Diário de Operações'!$O$4:$O$9938=Dinâmicas!AF73,IF('Diário de Operações'!$P$4:$P$9938=Dinâmicas!AE73,IF('Diário de Operações'!$U$4:$U$9938&lt;0,'Diário de Operações'!$U$4:$U$9938,"0"))))</f>
        <v>0</v>
      </c>
      <c r="AL73" s="142" t="e">
        <f>VLOOKUP(AH73,'Diário de Operações'!B:T,19,0)</f>
        <v>#N/A</v>
      </c>
      <c r="AM73" s="142" t="e">
        <f t="shared" si="5"/>
        <v>#N/A</v>
      </c>
      <c r="AN73" s="18" t="e">
        <f t="shared" si="3"/>
        <v>#N/A</v>
      </c>
      <c r="AO73" s="143">
        <f t="array" ref="AO73">MIN(IF('Diário de Operações'!$O$4:$O$9938=AF73,IF('Diário de Operações'!$P$4:$P$9938=Dinâmicas!AE73,'Diário de Operações'!$X$4:$X$9938)))</f>
        <v>0</v>
      </c>
      <c r="AP73" s="19" t="e">
        <f t="shared" si="6"/>
        <v>#N/A</v>
      </c>
      <c r="AS73"/>
    </row>
    <row r="74" spans="14:45" x14ac:dyDescent="0.3">
      <c r="N74"/>
      <c r="O74"/>
      <c r="S74"/>
      <c r="V74"/>
      <c r="Y74"/>
      <c r="Z74"/>
      <c r="AC74"/>
      <c r="AD74"/>
      <c r="AE74" s="16">
        <v>2026</v>
      </c>
      <c r="AF74" s="17">
        <v>8</v>
      </c>
      <c r="AG74" s="99">
        <f t="array" ref="AG74">MIN(IF('Diário de Operações'!$O$4:$O$9938=AF74,IF('Diário de Operações'!$P$4:$P$9938=Dinâmicas!AE74,'Diário de Operações'!$B$4:$B$9938)))</f>
        <v>0</v>
      </c>
      <c r="AH74" s="99">
        <f t="array" ref="AH74">MAX(IF('Diário de Operações'!$O$4:$O$9938=AF74,IF('Diário de Operações'!$P$4:$P$9938=Dinâmicas!AE74,'Diário de Operações'!$B$4:$B$9938)))</f>
        <v>0</v>
      </c>
      <c r="AI74" s="142" t="e">
        <f>VLOOKUP(AG74,'Diário de Operações'!B:T,18,0)</f>
        <v>#N/A</v>
      </c>
      <c r="AJ74" s="143">
        <f t="array" ref="AJ74">SUM(IF('Diário de Operações'!$O$4:$O$9938=Dinâmicas!AF74,IF('Diário de Operações'!$P$4:$P$9938=Dinâmicas!AE74,IF('Diário de Operações'!$U$4:$U$9938&gt;0,'Diário de Operações'!$U$4:$U$9938,"0"))))</f>
        <v>0</v>
      </c>
      <c r="AK74" s="143">
        <f t="array" ref="AK74">SUM(IF('Diário de Operações'!$O$4:$O$9938=Dinâmicas!AF74,IF('Diário de Operações'!$P$4:$P$9938=Dinâmicas!AE74,IF('Diário de Operações'!$U$4:$U$9938&lt;0,'Diário de Operações'!$U$4:$U$9938,"0"))))</f>
        <v>0</v>
      </c>
      <c r="AL74" s="142" t="e">
        <f>VLOOKUP(AH74,'Diário de Operações'!B:T,19,0)</f>
        <v>#N/A</v>
      </c>
      <c r="AM74" s="142" t="e">
        <f t="shared" si="5"/>
        <v>#N/A</v>
      </c>
      <c r="AN74" s="18" t="e">
        <f t="shared" si="3"/>
        <v>#N/A</v>
      </c>
      <c r="AO74" s="143">
        <f t="array" ref="AO74">MIN(IF('Diário de Operações'!$O$4:$O$9938=AF74,IF('Diário de Operações'!$P$4:$P$9938=Dinâmicas!AE74,'Diário de Operações'!$X$4:$X$9938)))</f>
        <v>0</v>
      </c>
      <c r="AP74" s="19" t="e">
        <f t="shared" si="6"/>
        <v>#N/A</v>
      </c>
      <c r="AS74"/>
    </row>
    <row r="75" spans="14:45" x14ac:dyDescent="0.3">
      <c r="N75"/>
      <c r="O75"/>
      <c r="S75"/>
      <c r="V75"/>
      <c r="Y75"/>
      <c r="Z75"/>
      <c r="AC75"/>
      <c r="AD75"/>
      <c r="AE75" s="16">
        <v>2026</v>
      </c>
      <c r="AF75" s="17">
        <v>9</v>
      </c>
      <c r="AG75" s="99">
        <f t="array" ref="AG75">MIN(IF('Diário de Operações'!$O$4:$O$9938=AF75,IF('Diário de Operações'!$P$4:$P$9938=Dinâmicas!AE75,'Diário de Operações'!$B$4:$B$9938)))</f>
        <v>0</v>
      </c>
      <c r="AH75" s="99">
        <f t="array" ref="AH75">MAX(IF('Diário de Operações'!$O$4:$O$9938=AF75,IF('Diário de Operações'!$P$4:$P$9938=Dinâmicas!AE75,'Diário de Operações'!$B$4:$B$9938)))</f>
        <v>0</v>
      </c>
      <c r="AI75" s="142" t="e">
        <f>VLOOKUP(AG75,'Diário de Operações'!B:T,18,0)</f>
        <v>#N/A</v>
      </c>
      <c r="AJ75" s="143">
        <f t="array" ref="AJ75">SUM(IF('Diário de Operações'!$O$4:$O$9938=Dinâmicas!AF75,IF('Diário de Operações'!$P$4:$P$9938=Dinâmicas!AE75,IF('Diário de Operações'!$U$4:$U$9938&gt;0,'Diário de Operações'!$U$4:$U$9938,"0"))))</f>
        <v>0</v>
      </c>
      <c r="AK75" s="143">
        <f t="array" ref="AK75">SUM(IF('Diário de Operações'!$O$4:$O$9938=Dinâmicas!AF75,IF('Diário de Operações'!$P$4:$P$9938=Dinâmicas!AE75,IF('Diário de Operações'!$U$4:$U$9938&lt;0,'Diário de Operações'!$U$4:$U$9938,"0"))))</f>
        <v>0</v>
      </c>
      <c r="AL75" s="142" t="e">
        <f>VLOOKUP(AH75,'Diário de Operações'!B:T,19,0)</f>
        <v>#N/A</v>
      </c>
      <c r="AM75" s="142" t="e">
        <f t="shared" si="5"/>
        <v>#N/A</v>
      </c>
      <c r="AN75" s="18" t="e">
        <f t="shared" si="3"/>
        <v>#N/A</v>
      </c>
      <c r="AO75" s="143">
        <f t="array" ref="AO75">MIN(IF('Diário de Operações'!$O$4:$O$9938=AF75,IF('Diário de Operações'!$P$4:$P$9938=Dinâmicas!AE75,'Diário de Operações'!$X$4:$X$9938)))</f>
        <v>0</v>
      </c>
      <c r="AP75" s="19" t="e">
        <f t="shared" si="6"/>
        <v>#N/A</v>
      </c>
      <c r="AS75"/>
    </row>
    <row r="76" spans="14:45" x14ac:dyDescent="0.3">
      <c r="N76"/>
      <c r="O76"/>
      <c r="S76"/>
      <c r="V76"/>
      <c r="Y76"/>
      <c r="Z76"/>
      <c r="AC76"/>
      <c r="AD76"/>
      <c r="AE76" s="16">
        <v>2026</v>
      </c>
      <c r="AF76" s="17">
        <v>10</v>
      </c>
      <c r="AG76" s="99">
        <f t="array" ref="AG76">MIN(IF('Diário de Operações'!$O$4:$O$9938=AF76,IF('Diário de Operações'!$P$4:$P$9938=Dinâmicas!AE76,'Diário de Operações'!$B$4:$B$9938)))</f>
        <v>0</v>
      </c>
      <c r="AH76" s="99">
        <f t="array" ref="AH76">MAX(IF('Diário de Operações'!$O$4:$O$9938=AF76,IF('Diário de Operações'!$P$4:$P$9938=Dinâmicas!AE76,'Diário de Operações'!$B$4:$B$9938)))</f>
        <v>0</v>
      </c>
      <c r="AI76" s="142" t="e">
        <f>VLOOKUP(AG76,'Diário de Operações'!B:T,18,0)</f>
        <v>#N/A</v>
      </c>
      <c r="AJ76" s="143">
        <f t="array" ref="AJ76">SUM(IF('Diário de Operações'!$O$4:$O$9938=Dinâmicas!AF76,IF('Diário de Operações'!$P$4:$P$9938=Dinâmicas!AE76,IF('Diário de Operações'!$U$4:$U$9938&gt;0,'Diário de Operações'!$U$4:$U$9938,"0"))))</f>
        <v>0</v>
      </c>
      <c r="AK76" s="143">
        <f t="array" ref="AK76">SUM(IF('Diário de Operações'!$O$4:$O$9938=Dinâmicas!AF76,IF('Diário de Operações'!$P$4:$P$9938=Dinâmicas!AE76,IF('Diário de Operações'!$U$4:$U$9938&lt;0,'Diário de Operações'!$U$4:$U$9938,"0"))))</f>
        <v>0</v>
      </c>
      <c r="AL76" s="142" t="e">
        <f>VLOOKUP(AH76,'Diário de Operações'!B:T,19,0)</f>
        <v>#N/A</v>
      </c>
      <c r="AM76" s="142" t="e">
        <f t="shared" si="5"/>
        <v>#N/A</v>
      </c>
      <c r="AN76" s="18" t="e">
        <f t="shared" si="3"/>
        <v>#N/A</v>
      </c>
      <c r="AO76" s="143">
        <f t="array" ref="AO76">MIN(IF('Diário de Operações'!$O$4:$O$9938=AF76,IF('Diário de Operações'!$P$4:$P$9938=Dinâmicas!AE76,'Diário de Operações'!$X$4:$X$9938)))</f>
        <v>0</v>
      </c>
      <c r="AP76" s="19" t="e">
        <f t="shared" si="6"/>
        <v>#N/A</v>
      </c>
      <c r="AS76"/>
    </row>
    <row r="77" spans="14:45" x14ac:dyDescent="0.3">
      <c r="N77"/>
      <c r="O77"/>
      <c r="S77"/>
      <c r="V77"/>
      <c r="Y77"/>
      <c r="Z77"/>
      <c r="AC77"/>
      <c r="AE77" s="16">
        <v>2026</v>
      </c>
      <c r="AF77" s="17">
        <v>11</v>
      </c>
      <c r="AG77" s="99">
        <f t="array" ref="AG77">MIN(IF('Diário de Operações'!$O$4:$O$9938=AF77,IF('Diário de Operações'!$P$4:$P$9938=Dinâmicas!AE77,'Diário de Operações'!$B$4:$B$9938)))</f>
        <v>0</v>
      </c>
      <c r="AH77" s="99">
        <f t="array" ref="AH77">MAX(IF('Diário de Operações'!$O$4:$O$9938=AF77,IF('Diário de Operações'!$P$4:$P$9938=Dinâmicas!AE77,'Diário de Operações'!$B$4:$B$9938)))</f>
        <v>0</v>
      </c>
      <c r="AI77" s="142" t="e">
        <f>VLOOKUP(AG77,'Diário de Operações'!B:T,18,0)</f>
        <v>#N/A</v>
      </c>
      <c r="AJ77" s="143">
        <f t="array" ref="AJ77">SUM(IF('Diário de Operações'!$O$4:$O$9938=Dinâmicas!AF77,IF('Diário de Operações'!$P$4:$P$9938=Dinâmicas!AE77,IF('Diário de Operações'!$U$4:$U$9938&gt;0,'Diário de Operações'!$U$4:$U$9938,"0"))))</f>
        <v>0</v>
      </c>
      <c r="AK77" s="143">
        <f t="array" ref="AK77">SUM(IF('Diário de Operações'!$O$4:$O$9938=Dinâmicas!AF77,IF('Diário de Operações'!$P$4:$P$9938=Dinâmicas!AE77,IF('Diário de Operações'!$U$4:$U$9938&lt;0,'Diário de Operações'!$U$4:$U$9938,"0"))))</f>
        <v>0</v>
      </c>
      <c r="AL77" s="142" t="e">
        <f>VLOOKUP(AH77,'Diário de Operações'!B:T,19,0)</f>
        <v>#N/A</v>
      </c>
      <c r="AM77" s="142" t="e">
        <f t="shared" si="5"/>
        <v>#N/A</v>
      </c>
      <c r="AN77" s="18" t="e">
        <f t="shared" si="3"/>
        <v>#N/A</v>
      </c>
      <c r="AO77" s="143">
        <f t="array" ref="AO77">MIN(IF('Diário de Operações'!$O$4:$O$9938=AF77,IF('Diário de Operações'!$P$4:$P$9938=Dinâmicas!AE77,'Diário de Operações'!$X$4:$X$9938)))</f>
        <v>0</v>
      </c>
      <c r="AP77" s="19" t="e">
        <f t="shared" si="6"/>
        <v>#N/A</v>
      </c>
      <c r="AS77"/>
    </row>
    <row r="78" spans="14:45" x14ac:dyDescent="0.3">
      <c r="AE78" s="16">
        <v>2026</v>
      </c>
      <c r="AF78" s="17">
        <v>12</v>
      </c>
      <c r="AG78" s="99">
        <f t="array" ref="AG78">MIN(IF('Diário de Operações'!$O$4:$O$9938=AF78,IF('Diário de Operações'!$P$4:$P$9938=Dinâmicas!AE78,'Diário de Operações'!$B$4:$B$9938)))</f>
        <v>0</v>
      </c>
      <c r="AH78" s="99">
        <f t="array" ref="AH78">MAX(IF('Diário de Operações'!$O$4:$O$9938=AF78,IF('Diário de Operações'!$P$4:$P$9938=Dinâmicas!AE78,'Diário de Operações'!$B$4:$B$9938)))</f>
        <v>0</v>
      </c>
      <c r="AI78" s="142" t="e">
        <f>VLOOKUP(AG78,'Diário de Operações'!B:T,18,0)</f>
        <v>#N/A</v>
      </c>
      <c r="AJ78" s="143">
        <f t="array" ref="AJ78">SUM(IF('Diário de Operações'!$O$4:$O$9938=Dinâmicas!AF78,IF('Diário de Operações'!$P$4:$P$9938=Dinâmicas!AE78,IF('Diário de Operações'!$U$4:$U$9938&gt;0,'Diário de Operações'!$U$4:$U$9938,"0"))))</f>
        <v>0</v>
      </c>
      <c r="AK78" s="143">
        <f t="array" ref="AK78">SUM(IF('Diário de Operações'!$O$4:$O$9938=Dinâmicas!AF78,IF('Diário de Operações'!$P$4:$P$9938=Dinâmicas!AE78,IF('Diário de Operações'!$U$4:$U$9938&lt;0,'Diário de Operações'!$U$4:$U$9938,"0"))))</f>
        <v>0</v>
      </c>
      <c r="AL78" s="142" t="e">
        <f>VLOOKUP(AH78,'Diário de Operações'!B:T,19,0)</f>
        <v>#N/A</v>
      </c>
      <c r="AM78" s="142" t="e">
        <f t="shared" si="5"/>
        <v>#N/A</v>
      </c>
      <c r="AN78" s="18" t="e">
        <f t="shared" si="3"/>
        <v>#N/A</v>
      </c>
      <c r="AO78" s="143">
        <f t="array" ref="AO78">MIN(IF('Diário de Operações'!$O$4:$O$9938=AF78,IF('Diário de Operações'!$P$4:$P$9938=Dinâmicas!AE78,'Diário de Operações'!$X$4:$X$9938)))</f>
        <v>0</v>
      </c>
      <c r="AP78" s="19" t="e">
        <f t="shared" si="6"/>
        <v>#N/A</v>
      </c>
      <c r="AS78"/>
    </row>
    <row r="79" spans="14:45" x14ac:dyDescent="0.3">
      <c r="AE79" s="16">
        <v>2027</v>
      </c>
      <c r="AF79" s="17">
        <v>1</v>
      </c>
      <c r="AG79" s="99">
        <f t="array" ref="AG79">MIN(IF('Diário de Operações'!$O$4:$O$9938=AF79,IF('Diário de Operações'!$P$4:$P$9938=Dinâmicas!AE79,'Diário de Operações'!$B$4:$B$9938)))</f>
        <v>0</v>
      </c>
      <c r="AH79" s="99">
        <f t="array" ref="AH79">MAX(IF('Diário de Operações'!$O$4:$O$9938=AF79,IF('Diário de Operações'!$P$4:$P$9938=Dinâmicas!AE79,'Diário de Operações'!$B$4:$B$9938)))</f>
        <v>0</v>
      </c>
      <c r="AI79" s="142" t="e">
        <f>VLOOKUP(AG79,'Diário de Operações'!B:T,18,0)</f>
        <v>#N/A</v>
      </c>
      <c r="AJ79" s="143">
        <f t="array" ref="AJ79">SUM(IF('Diário de Operações'!$O$4:$O$9938=Dinâmicas!AF79,IF('Diário de Operações'!$P$4:$P$9938=Dinâmicas!AE79,IF('Diário de Operações'!$U$4:$U$9938&gt;0,'Diário de Operações'!$U$4:$U$9938,"0"))))</f>
        <v>0</v>
      </c>
      <c r="AK79" s="143">
        <f t="array" ref="AK79">SUM(IF('Diário de Operações'!$O$4:$O$9938=Dinâmicas!AF79,IF('Diário de Operações'!$P$4:$P$9938=Dinâmicas!AE79,IF('Diário de Operações'!$U$4:$U$9938&lt;0,'Diário de Operações'!$U$4:$U$9938,"0"))))</f>
        <v>0</v>
      </c>
      <c r="AL79" s="142" t="e">
        <f>VLOOKUP(AH79,'Diário de Operações'!B:T,19,0)</f>
        <v>#N/A</v>
      </c>
      <c r="AM79" s="142" t="e">
        <f t="shared" si="5"/>
        <v>#N/A</v>
      </c>
      <c r="AN79" s="18" t="e">
        <f t="shared" si="3"/>
        <v>#N/A</v>
      </c>
      <c r="AO79" s="143">
        <f t="array" ref="AO79">MIN(IF('Diário de Operações'!$O$4:$O$9938=AF79,IF('Diário de Operações'!$P$4:$P$9938=Dinâmicas!AE79,'Diário de Operações'!$X$4:$X$9938)))</f>
        <v>0</v>
      </c>
      <c r="AP79" s="19" t="e">
        <f t="shared" si="6"/>
        <v>#N/A</v>
      </c>
      <c r="AS79"/>
    </row>
    <row r="80" spans="14:45" x14ac:dyDescent="0.3">
      <c r="AE80" s="16">
        <v>2027</v>
      </c>
      <c r="AF80" s="17">
        <v>2</v>
      </c>
      <c r="AG80" s="99">
        <f t="array" ref="AG80">MIN(IF('Diário de Operações'!$O$4:$O$9938=AF80,IF('Diário de Operações'!$P$4:$P$9938=Dinâmicas!AE80,'Diário de Operações'!$B$4:$B$9938)))</f>
        <v>0</v>
      </c>
      <c r="AH80" s="99">
        <f t="array" ref="AH80">MAX(IF('Diário de Operações'!$O$4:$O$9938=AF80,IF('Diário de Operações'!$P$4:$P$9938=Dinâmicas!AE80,'Diário de Operações'!$B$4:$B$9938)))</f>
        <v>0</v>
      </c>
      <c r="AI80" s="142" t="e">
        <f>VLOOKUP(AG80,'Diário de Operações'!B:T,18,0)</f>
        <v>#N/A</v>
      </c>
      <c r="AJ80" s="143">
        <f t="array" ref="AJ80">SUM(IF('Diário de Operações'!$O$4:$O$9938=Dinâmicas!AF80,IF('Diário de Operações'!$P$4:$P$9938=Dinâmicas!AE80,IF('Diário de Operações'!$U$4:$U$9938&gt;0,'Diário de Operações'!$U$4:$U$9938,"0"))))</f>
        <v>0</v>
      </c>
      <c r="AK80" s="143">
        <f t="array" ref="AK80">SUM(IF('Diário de Operações'!$O$4:$O$9938=Dinâmicas!AF80,IF('Diário de Operações'!$P$4:$P$9938=Dinâmicas!AE80,IF('Diário de Operações'!$U$4:$U$9938&lt;0,'Diário de Operações'!$U$4:$U$9938,"0"))))</f>
        <v>0</v>
      </c>
      <c r="AL80" s="142" t="e">
        <f>VLOOKUP(AH80,'Diário de Operações'!B:T,19,0)</f>
        <v>#N/A</v>
      </c>
      <c r="AM80" s="142" t="e">
        <f t="shared" si="5"/>
        <v>#N/A</v>
      </c>
      <c r="AN80" s="18" t="e">
        <f t="shared" si="3"/>
        <v>#N/A</v>
      </c>
      <c r="AO80" s="143">
        <f t="array" ref="AO80">MIN(IF('Diário de Operações'!$O$4:$O$9938=AF80,IF('Diário de Operações'!$P$4:$P$9938=Dinâmicas!AE80,'Diário de Operações'!$X$4:$X$9938)))</f>
        <v>0</v>
      </c>
      <c r="AP80" s="19" t="e">
        <f t="shared" si="6"/>
        <v>#N/A</v>
      </c>
      <c r="AS80"/>
    </row>
    <row r="81" spans="31:45" x14ac:dyDescent="0.3">
      <c r="AE81" s="16">
        <v>2027</v>
      </c>
      <c r="AF81" s="17">
        <v>3</v>
      </c>
      <c r="AG81" s="99">
        <f t="array" ref="AG81">MIN(IF('Diário de Operações'!$O$4:$O$9938=AF81,IF('Diário de Operações'!$P$4:$P$9938=Dinâmicas!AE81,'Diário de Operações'!$B$4:$B$9938)))</f>
        <v>0</v>
      </c>
      <c r="AH81" s="99">
        <f t="array" ref="AH81">MAX(IF('Diário de Operações'!$O$4:$O$9938=AF81,IF('Diário de Operações'!$P$4:$P$9938=Dinâmicas!AE81,'Diário de Operações'!$B$4:$B$9938)))</f>
        <v>0</v>
      </c>
      <c r="AI81" s="142" t="e">
        <f>VLOOKUP(AG81,'Diário de Operações'!B:T,18,0)</f>
        <v>#N/A</v>
      </c>
      <c r="AJ81" s="143">
        <f t="array" ref="AJ81">SUM(IF('Diário de Operações'!$O$4:$O$9938=Dinâmicas!AF81,IF('Diário de Operações'!$P$4:$P$9938=Dinâmicas!AE81,IF('Diário de Operações'!$U$4:$U$9938&gt;0,'Diário de Operações'!$U$4:$U$9938,"0"))))</f>
        <v>0</v>
      </c>
      <c r="AK81" s="143">
        <f t="array" ref="AK81">SUM(IF('Diário de Operações'!$O$4:$O$9938=Dinâmicas!AF81,IF('Diário de Operações'!$P$4:$P$9938=Dinâmicas!AE81,IF('Diário de Operações'!$U$4:$U$9938&lt;0,'Diário de Operações'!$U$4:$U$9938,"0"))))</f>
        <v>0</v>
      </c>
      <c r="AL81" s="142" t="e">
        <f>VLOOKUP(AH81,'Diário de Operações'!B:T,19,0)</f>
        <v>#N/A</v>
      </c>
      <c r="AM81" s="142" t="e">
        <f t="shared" si="5"/>
        <v>#N/A</v>
      </c>
      <c r="AN81" s="18" t="e">
        <f t="shared" si="3"/>
        <v>#N/A</v>
      </c>
      <c r="AO81" s="143">
        <f t="array" ref="AO81">MIN(IF('Diário de Operações'!$O$4:$O$9938=AF81,IF('Diário de Operações'!$P$4:$P$9938=Dinâmicas!AE81,'Diário de Operações'!$X$4:$X$9938)))</f>
        <v>0</v>
      </c>
      <c r="AP81" s="19" t="e">
        <f t="shared" si="6"/>
        <v>#N/A</v>
      </c>
      <c r="AS81"/>
    </row>
    <row r="82" spans="31:45" x14ac:dyDescent="0.3">
      <c r="AE82" s="16">
        <v>2027</v>
      </c>
      <c r="AF82" s="17">
        <v>4</v>
      </c>
      <c r="AG82" s="99">
        <f t="array" ref="AG82">MIN(IF('Diário de Operações'!$O$4:$O$9938=AF82,IF('Diário de Operações'!$P$4:$P$9938=Dinâmicas!AE82,'Diário de Operações'!$B$4:$B$9938)))</f>
        <v>0</v>
      </c>
      <c r="AH82" s="99">
        <f t="array" ref="AH82">MAX(IF('Diário de Operações'!$O$4:$O$9938=AF82,IF('Diário de Operações'!$P$4:$P$9938=Dinâmicas!AE82,'Diário de Operações'!$B$4:$B$9938)))</f>
        <v>0</v>
      </c>
      <c r="AI82" s="142" t="e">
        <f>VLOOKUP(AG82,'Diário de Operações'!B:T,18,0)</f>
        <v>#N/A</v>
      </c>
      <c r="AJ82" s="143">
        <f t="array" ref="AJ82">SUM(IF('Diário de Operações'!$O$4:$O$9938=Dinâmicas!AF82,IF('Diário de Operações'!$P$4:$P$9938=Dinâmicas!AE82,IF('Diário de Operações'!$U$4:$U$9938&gt;0,'Diário de Operações'!$U$4:$U$9938,"0"))))</f>
        <v>0</v>
      </c>
      <c r="AK82" s="143">
        <f t="array" ref="AK82">SUM(IF('Diário de Operações'!$O$4:$O$9938=Dinâmicas!AF82,IF('Diário de Operações'!$P$4:$P$9938=Dinâmicas!AE82,IF('Diário de Operações'!$U$4:$U$9938&lt;0,'Diário de Operações'!$U$4:$U$9938,"0"))))</f>
        <v>0</v>
      </c>
      <c r="AL82" s="142" t="e">
        <f>VLOOKUP(AH82,'Diário de Operações'!B:T,19,0)</f>
        <v>#N/A</v>
      </c>
      <c r="AM82" s="142" t="e">
        <f t="shared" si="5"/>
        <v>#N/A</v>
      </c>
      <c r="AN82" s="18" t="e">
        <f t="shared" si="3"/>
        <v>#N/A</v>
      </c>
      <c r="AO82" s="143">
        <f t="array" ref="AO82">MIN(IF('Diário de Operações'!$O$4:$O$9938=AF82,IF('Diário de Operações'!$P$4:$P$9938=Dinâmicas!AE82,'Diário de Operações'!$X$4:$X$9938)))</f>
        <v>0</v>
      </c>
      <c r="AP82" s="19" t="e">
        <f t="shared" si="6"/>
        <v>#N/A</v>
      </c>
      <c r="AS82"/>
    </row>
    <row r="83" spans="31:45" x14ac:dyDescent="0.3">
      <c r="AE83" s="16">
        <v>2027</v>
      </c>
      <c r="AF83" s="17">
        <v>5</v>
      </c>
      <c r="AG83" s="99">
        <f t="array" ref="AG83">MIN(IF('Diário de Operações'!$O$4:$O$9938=AF83,IF('Diário de Operações'!$P$4:$P$9938=Dinâmicas!AE83,'Diário de Operações'!$B$4:$B$9938)))</f>
        <v>0</v>
      </c>
      <c r="AH83" s="99">
        <f t="array" ref="AH83">MAX(IF('Diário de Operações'!$O$4:$O$9938=AF83,IF('Diário de Operações'!$P$4:$P$9938=Dinâmicas!AE83,'Diário de Operações'!$B$4:$B$9938)))</f>
        <v>0</v>
      </c>
      <c r="AI83" s="142" t="e">
        <f>VLOOKUP(AG83,'Diário de Operações'!B:T,18,0)</f>
        <v>#N/A</v>
      </c>
      <c r="AJ83" s="143">
        <f t="array" ref="AJ83">SUM(IF('Diário de Operações'!$O$4:$O$9938=Dinâmicas!AF83,IF('Diário de Operações'!$P$4:$P$9938=Dinâmicas!AE83,IF('Diário de Operações'!$U$4:$U$9938&gt;0,'Diário de Operações'!$U$4:$U$9938,"0"))))</f>
        <v>0</v>
      </c>
      <c r="AK83" s="143">
        <f t="array" ref="AK83">SUM(IF('Diário de Operações'!$O$4:$O$9938=Dinâmicas!AF83,IF('Diário de Operações'!$P$4:$P$9938=Dinâmicas!AE83,IF('Diário de Operações'!$U$4:$U$9938&lt;0,'Diário de Operações'!$U$4:$U$9938,"0"))))</f>
        <v>0</v>
      </c>
      <c r="AL83" s="142" t="e">
        <f>VLOOKUP(AH83,'Diário de Operações'!B:T,19,0)</f>
        <v>#N/A</v>
      </c>
      <c r="AM83" s="142" t="e">
        <f t="shared" si="5"/>
        <v>#N/A</v>
      </c>
      <c r="AN83" s="18" t="e">
        <f t="shared" ref="AN83:AN138" si="7">(AM83/AI83)</f>
        <v>#N/A</v>
      </c>
      <c r="AO83" s="143">
        <f t="array" ref="AO83">MIN(IF('Diário de Operações'!$O$4:$O$9938=AF83,IF('Diário de Operações'!$P$4:$P$9938=Dinâmicas!AE83,'Diário de Operações'!$X$4:$X$9938)))</f>
        <v>0</v>
      </c>
      <c r="AP83" s="19" t="e">
        <f t="shared" si="6"/>
        <v>#N/A</v>
      </c>
      <c r="AS83"/>
    </row>
    <row r="84" spans="31:45" x14ac:dyDescent="0.3">
      <c r="AE84" s="16">
        <v>2027</v>
      </c>
      <c r="AF84" s="17">
        <v>6</v>
      </c>
      <c r="AG84" s="99">
        <f t="array" ref="AG84">MIN(IF('Diário de Operações'!$O$4:$O$9938=AF84,IF('Diário de Operações'!$P$4:$P$9938=Dinâmicas!AE84,'Diário de Operações'!$B$4:$B$9938)))</f>
        <v>0</v>
      </c>
      <c r="AH84" s="99">
        <f t="array" ref="AH84">MAX(IF('Diário de Operações'!$O$4:$O$9938=AF84,IF('Diário de Operações'!$P$4:$P$9938=Dinâmicas!AE84,'Diário de Operações'!$B$4:$B$9938)))</f>
        <v>0</v>
      </c>
      <c r="AI84" s="142" t="e">
        <f>VLOOKUP(AG84,'Diário de Operações'!B:T,18,0)</f>
        <v>#N/A</v>
      </c>
      <c r="AJ84" s="143">
        <f t="array" ref="AJ84">SUM(IF('Diário de Operações'!$O$4:$O$9938=Dinâmicas!AF84,IF('Diário de Operações'!$P$4:$P$9938=Dinâmicas!AE84,IF('Diário de Operações'!$U$4:$U$9938&gt;0,'Diário de Operações'!$U$4:$U$9938,"0"))))</f>
        <v>0</v>
      </c>
      <c r="AK84" s="143">
        <f t="array" ref="AK84">SUM(IF('Diário de Operações'!$O$4:$O$9938=Dinâmicas!AF84,IF('Diário de Operações'!$P$4:$P$9938=Dinâmicas!AE84,IF('Diário de Operações'!$U$4:$U$9938&lt;0,'Diário de Operações'!$U$4:$U$9938,"0"))))</f>
        <v>0</v>
      </c>
      <c r="AL84" s="142" t="e">
        <f>VLOOKUP(AH84,'Diário de Operações'!B:T,19,0)</f>
        <v>#N/A</v>
      </c>
      <c r="AM84" s="142" t="e">
        <f t="shared" si="5"/>
        <v>#N/A</v>
      </c>
      <c r="AN84" s="18" t="e">
        <f t="shared" si="7"/>
        <v>#N/A</v>
      </c>
      <c r="AO84" s="143">
        <f t="array" ref="AO84">MIN(IF('Diário de Operações'!$O$4:$O$9938=AF84,IF('Diário de Operações'!$P$4:$P$9938=Dinâmicas!AE84,'Diário de Operações'!$X$4:$X$9938)))</f>
        <v>0</v>
      </c>
      <c r="AP84" s="19" t="e">
        <f t="shared" si="6"/>
        <v>#N/A</v>
      </c>
      <c r="AS84"/>
    </row>
    <row r="85" spans="31:45" x14ac:dyDescent="0.3">
      <c r="AE85" s="16">
        <v>2027</v>
      </c>
      <c r="AF85" s="17">
        <v>7</v>
      </c>
      <c r="AG85" s="99">
        <f t="array" ref="AG85">MIN(IF('Diário de Operações'!$O$4:$O$9938=AF85,IF('Diário de Operações'!$P$4:$P$9938=Dinâmicas!AE85,'Diário de Operações'!$B$4:$B$9938)))</f>
        <v>0</v>
      </c>
      <c r="AH85" s="99">
        <f t="array" ref="AH85">MAX(IF('Diário de Operações'!$O$4:$O$9938=AF85,IF('Diário de Operações'!$P$4:$P$9938=Dinâmicas!AE85,'Diário de Operações'!$B$4:$B$9938)))</f>
        <v>0</v>
      </c>
      <c r="AI85" s="142" t="e">
        <f>VLOOKUP(AG85,'Diário de Operações'!B:T,18,0)</f>
        <v>#N/A</v>
      </c>
      <c r="AJ85" s="143">
        <f t="array" ref="AJ85">SUM(IF('Diário de Operações'!$O$4:$O$9938=Dinâmicas!AF85,IF('Diário de Operações'!$P$4:$P$9938=Dinâmicas!AE85,IF('Diário de Operações'!$U$4:$U$9938&gt;0,'Diário de Operações'!$U$4:$U$9938,"0"))))</f>
        <v>0</v>
      </c>
      <c r="AK85" s="143">
        <f t="array" ref="AK85">SUM(IF('Diário de Operações'!$O$4:$O$9938=Dinâmicas!AF85,IF('Diário de Operações'!$P$4:$P$9938=Dinâmicas!AE85,IF('Diário de Operações'!$U$4:$U$9938&lt;0,'Diário de Operações'!$U$4:$U$9938,"0"))))</f>
        <v>0</v>
      </c>
      <c r="AL85" s="142" t="e">
        <f>VLOOKUP(AH85,'Diário de Operações'!B:T,19,0)</f>
        <v>#N/A</v>
      </c>
      <c r="AM85" s="142" t="e">
        <f t="shared" si="5"/>
        <v>#N/A</v>
      </c>
      <c r="AN85" s="18" t="e">
        <f t="shared" si="7"/>
        <v>#N/A</v>
      </c>
      <c r="AO85" s="143">
        <f t="array" ref="AO85">MIN(IF('Diário de Operações'!$O$4:$O$9938=AF85,IF('Diário de Operações'!$P$4:$P$9938=Dinâmicas!AE85,'Diário de Operações'!$X$4:$X$9938)))</f>
        <v>0</v>
      </c>
      <c r="AP85" s="19" t="e">
        <f t="shared" si="6"/>
        <v>#N/A</v>
      </c>
      <c r="AS85"/>
    </row>
    <row r="86" spans="31:45" x14ac:dyDescent="0.3">
      <c r="AE86" s="16">
        <v>2027</v>
      </c>
      <c r="AF86" s="17">
        <v>8</v>
      </c>
      <c r="AG86" s="99">
        <f t="array" ref="AG86">MIN(IF('Diário de Operações'!$O$4:$O$9938=AF86,IF('Diário de Operações'!$P$4:$P$9938=Dinâmicas!AE86,'Diário de Operações'!$B$4:$B$9938)))</f>
        <v>0</v>
      </c>
      <c r="AH86" s="99">
        <f t="array" ref="AH86">MAX(IF('Diário de Operações'!$O$4:$O$9938=AF86,IF('Diário de Operações'!$P$4:$P$9938=Dinâmicas!AE86,'Diário de Operações'!$B$4:$B$9938)))</f>
        <v>0</v>
      </c>
      <c r="AI86" s="142" t="e">
        <f>VLOOKUP(AG86,'Diário de Operações'!B:T,18,0)</f>
        <v>#N/A</v>
      </c>
      <c r="AJ86" s="143">
        <f t="array" ref="AJ86">SUM(IF('Diário de Operações'!$O$4:$O$9938=Dinâmicas!AF86,IF('Diário de Operações'!$P$4:$P$9938=Dinâmicas!AE86,IF('Diário de Operações'!$U$4:$U$9938&gt;0,'Diário de Operações'!$U$4:$U$9938,"0"))))</f>
        <v>0</v>
      </c>
      <c r="AK86" s="143">
        <f t="array" ref="AK86">SUM(IF('Diário de Operações'!$O$4:$O$9938=Dinâmicas!AF86,IF('Diário de Operações'!$P$4:$P$9938=Dinâmicas!AE86,IF('Diário de Operações'!$U$4:$U$9938&lt;0,'Diário de Operações'!$U$4:$U$9938,"0"))))</f>
        <v>0</v>
      </c>
      <c r="AL86" s="142" t="e">
        <f>VLOOKUP(AH86,'Diário de Operações'!B:T,19,0)</f>
        <v>#N/A</v>
      </c>
      <c r="AM86" s="142" t="e">
        <f t="shared" si="5"/>
        <v>#N/A</v>
      </c>
      <c r="AN86" s="18" t="e">
        <f t="shared" si="7"/>
        <v>#N/A</v>
      </c>
      <c r="AO86" s="143">
        <f t="array" ref="AO86">MIN(IF('Diário de Operações'!$O$4:$O$9938=AF86,IF('Diário de Operações'!$P$4:$P$9938=Dinâmicas!AE86,'Diário de Operações'!$X$4:$X$9938)))</f>
        <v>0</v>
      </c>
      <c r="AP86" s="19" t="e">
        <f t="shared" si="6"/>
        <v>#N/A</v>
      </c>
      <c r="AS86"/>
    </row>
    <row r="87" spans="31:45" x14ac:dyDescent="0.3">
      <c r="AE87" s="16">
        <v>2027</v>
      </c>
      <c r="AF87" s="17">
        <v>9</v>
      </c>
      <c r="AG87" s="99">
        <f t="array" ref="AG87">MIN(IF('Diário de Operações'!$O$4:$O$9938=AF87,IF('Diário de Operações'!$P$4:$P$9938=Dinâmicas!AE87,'Diário de Operações'!$B$4:$B$9938)))</f>
        <v>0</v>
      </c>
      <c r="AH87" s="99">
        <f t="array" ref="AH87">MAX(IF('Diário de Operações'!$O$4:$O$9938=AF87,IF('Diário de Operações'!$P$4:$P$9938=Dinâmicas!AE87,'Diário de Operações'!$B$4:$B$9938)))</f>
        <v>0</v>
      </c>
      <c r="AI87" s="142" t="e">
        <f>VLOOKUP(AG87,'Diário de Operações'!B:T,18,0)</f>
        <v>#N/A</v>
      </c>
      <c r="AJ87" s="143">
        <f t="array" ref="AJ87">SUM(IF('Diário de Operações'!$O$4:$O$9938=Dinâmicas!AF87,IF('Diário de Operações'!$P$4:$P$9938=Dinâmicas!AE87,IF('Diário de Operações'!$U$4:$U$9938&gt;0,'Diário de Operações'!$U$4:$U$9938,"0"))))</f>
        <v>0</v>
      </c>
      <c r="AK87" s="143">
        <f t="array" ref="AK87">SUM(IF('Diário de Operações'!$O$4:$O$9938=Dinâmicas!AF87,IF('Diário de Operações'!$P$4:$P$9938=Dinâmicas!AE87,IF('Diário de Operações'!$U$4:$U$9938&lt;0,'Diário de Operações'!$U$4:$U$9938,"0"))))</f>
        <v>0</v>
      </c>
      <c r="AL87" s="142" t="e">
        <f>VLOOKUP(AH87,'Diário de Operações'!B:T,19,0)</f>
        <v>#N/A</v>
      </c>
      <c r="AM87" s="142" t="e">
        <f t="shared" si="5"/>
        <v>#N/A</v>
      </c>
      <c r="AN87" s="18" t="e">
        <f t="shared" si="7"/>
        <v>#N/A</v>
      </c>
      <c r="AO87" s="143">
        <f t="array" ref="AO87">MIN(IF('Diário de Operações'!$O$4:$O$9938=AF87,IF('Diário de Operações'!$P$4:$P$9938=Dinâmicas!AE87,'Diário de Operações'!$X$4:$X$9938)))</f>
        <v>0</v>
      </c>
      <c r="AP87" s="19" t="e">
        <f t="shared" si="6"/>
        <v>#N/A</v>
      </c>
      <c r="AS87"/>
    </row>
    <row r="88" spans="31:45" x14ac:dyDescent="0.3">
      <c r="AE88" s="16">
        <v>2027</v>
      </c>
      <c r="AF88" s="17">
        <v>10</v>
      </c>
      <c r="AG88" s="99">
        <f t="array" ref="AG88">MIN(IF('Diário de Operações'!$O$4:$O$9938=AF88,IF('Diário de Operações'!$P$4:$P$9938=Dinâmicas!AE88,'Diário de Operações'!$B$4:$B$9938)))</f>
        <v>0</v>
      </c>
      <c r="AH88" s="99">
        <f t="array" ref="AH88">MAX(IF('Diário de Operações'!$O$4:$O$9938=AF88,IF('Diário de Operações'!$P$4:$P$9938=Dinâmicas!AE88,'Diário de Operações'!$B$4:$B$9938)))</f>
        <v>0</v>
      </c>
      <c r="AI88" s="142" t="e">
        <f>VLOOKUP(AG88,'Diário de Operações'!B:T,18,0)</f>
        <v>#N/A</v>
      </c>
      <c r="AJ88" s="143">
        <f t="array" ref="AJ88">SUM(IF('Diário de Operações'!$O$4:$O$9938=Dinâmicas!AF88,IF('Diário de Operações'!$P$4:$P$9938=Dinâmicas!AE88,IF('Diário de Operações'!$U$4:$U$9938&gt;0,'Diário de Operações'!$U$4:$U$9938,"0"))))</f>
        <v>0</v>
      </c>
      <c r="AK88" s="143">
        <f t="array" ref="AK88">SUM(IF('Diário de Operações'!$O$4:$O$9938=Dinâmicas!AF88,IF('Diário de Operações'!$P$4:$P$9938=Dinâmicas!AE88,IF('Diário de Operações'!$U$4:$U$9938&lt;0,'Diário de Operações'!$U$4:$U$9938,"0"))))</f>
        <v>0</v>
      </c>
      <c r="AL88" s="142" t="e">
        <f>VLOOKUP(AH88,'Diário de Operações'!B:T,19,0)</f>
        <v>#N/A</v>
      </c>
      <c r="AM88" s="142" t="e">
        <f t="shared" si="5"/>
        <v>#N/A</v>
      </c>
      <c r="AN88" s="18" t="e">
        <f t="shared" si="7"/>
        <v>#N/A</v>
      </c>
      <c r="AO88" s="143">
        <f t="array" ref="AO88">MIN(IF('Diário de Operações'!$O$4:$O$9938=AF88,IF('Diário de Operações'!$P$4:$P$9938=Dinâmicas!AE88,'Diário de Operações'!$X$4:$X$9938)))</f>
        <v>0</v>
      </c>
      <c r="AP88" s="19" t="e">
        <f t="shared" si="6"/>
        <v>#N/A</v>
      </c>
      <c r="AS88"/>
    </row>
    <row r="89" spans="31:45" x14ac:dyDescent="0.3">
      <c r="AE89" s="16">
        <v>2027</v>
      </c>
      <c r="AF89" s="17">
        <v>11</v>
      </c>
      <c r="AG89" s="99">
        <f t="array" ref="AG89">MIN(IF('Diário de Operações'!$O$4:$O$9938=AF89,IF('Diário de Operações'!$P$4:$P$9938=Dinâmicas!AE89,'Diário de Operações'!$B$4:$B$9938)))</f>
        <v>0</v>
      </c>
      <c r="AH89" s="99">
        <f t="array" ref="AH89">MAX(IF('Diário de Operações'!$O$4:$O$9938=AF89,IF('Diário de Operações'!$P$4:$P$9938=Dinâmicas!AE89,'Diário de Operações'!$B$4:$B$9938)))</f>
        <v>0</v>
      </c>
      <c r="AI89" s="142" t="e">
        <f>VLOOKUP(AG89,'Diário de Operações'!B:T,18,0)</f>
        <v>#N/A</v>
      </c>
      <c r="AJ89" s="143">
        <f t="array" ref="AJ89">SUM(IF('Diário de Operações'!$O$4:$O$9938=Dinâmicas!AF89,IF('Diário de Operações'!$P$4:$P$9938=Dinâmicas!AE89,IF('Diário de Operações'!$U$4:$U$9938&gt;0,'Diário de Operações'!$U$4:$U$9938,"0"))))</f>
        <v>0</v>
      </c>
      <c r="AK89" s="143">
        <f t="array" ref="AK89">SUM(IF('Diário de Operações'!$O$4:$O$9938=Dinâmicas!AF89,IF('Diário de Operações'!$P$4:$P$9938=Dinâmicas!AE89,IF('Diário de Operações'!$U$4:$U$9938&lt;0,'Diário de Operações'!$U$4:$U$9938,"0"))))</f>
        <v>0</v>
      </c>
      <c r="AL89" s="142" t="e">
        <f>VLOOKUP(AH89,'Diário de Operações'!B:T,19,0)</f>
        <v>#N/A</v>
      </c>
      <c r="AM89" s="142" t="e">
        <f t="shared" si="5"/>
        <v>#N/A</v>
      </c>
      <c r="AN89" s="18" t="e">
        <f t="shared" si="7"/>
        <v>#N/A</v>
      </c>
      <c r="AO89" s="143">
        <f t="array" ref="AO89">MIN(IF('Diário de Operações'!$O$4:$O$9938=AF89,IF('Diário de Operações'!$P$4:$P$9938=Dinâmicas!AE89,'Diário de Operações'!$X$4:$X$9938)))</f>
        <v>0</v>
      </c>
      <c r="AP89" s="19" t="e">
        <f t="shared" si="6"/>
        <v>#N/A</v>
      </c>
      <c r="AS89"/>
    </row>
    <row r="90" spans="31:45" x14ac:dyDescent="0.3">
      <c r="AE90" s="16">
        <v>2027</v>
      </c>
      <c r="AF90" s="17">
        <v>12</v>
      </c>
      <c r="AG90" s="99">
        <f t="array" ref="AG90">MIN(IF('Diário de Operações'!$O$4:$O$9938=AF90,IF('Diário de Operações'!$P$4:$P$9938=Dinâmicas!AE90,'Diário de Operações'!$B$4:$B$9938)))</f>
        <v>0</v>
      </c>
      <c r="AH90" s="99">
        <f t="array" ref="AH90">MAX(IF('Diário de Operações'!$O$4:$O$9938=AF90,IF('Diário de Operações'!$P$4:$P$9938=Dinâmicas!AE90,'Diário de Operações'!$B$4:$B$9938)))</f>
        <v>0</v>
      </c>
      <c r="AI90" s="142" t="e">
        <f>VLOOKUP(AG90,'Diário de Operações'!B:T,18,0)</f>
        <v>#N/A</v>
      </c>
      <c r="AJ90" s="143">
        <f t="array" ref="AJ90">SUM(IF('Diário de Operações'!$O$4:$O$9938=Dinâmicas!AF90,IF('Diário de Operações'!$P$4:$P$9938=Dinâmicas!AE90,IF('Diário de Operações'!$U$4:$U$9938&gt;0,'Diário de Operações'!$U$4:$U$9938,"0"))))</f>
        <v>0</v>
      </c>
      <c r="AK90" s="143">
        <f t="array" ref="AK90">SUM(IF('Diário de Operações'!$O$4:$O$9938=Dinâmicas!AF90,IF('Diário de Operações'!$P$4:$P$9938=Dinâmicas!AE90,IF('Diário de Operações'!$U$4:$U$9938&lt;0,'Diário de Operações'!$U$4:$U$9938,"0"))))</f>
        <v>0</v>
      </c>
      <c r="AL90" s="142" t="e">
        <f>VLOOKUP(AH90,'Diário de Operações'!B:T,19,0)</f>
        <v>#N/A</v>
      </c>
      <c r="AM90" s="142" t="e">
        <f t="shared" si="5"/>
        <v>#N/A</v>
      </c>
      <c r="AN90" s="18" t="e">
        <f t="shared" si="7"/>
        <v>#N/A</v>
      </c>
      <c r="AO90" s="143">
        <f t="array" ref="AO90">MIN(IF('Diário de Operações'!$O$4:$O$9938=AF90,IF('Diário de Operações'!$P$4:$P$9938=Dinâmicas!AE90,'Diário de Operações'!$X$4:$X$9938)))</f>
        <v>0</v>
      </c>
      <c r="AP90" s="19" t="e">
        <f t="shared" si="6"/>
        <v>#N/A</v>
      </c>
      <c r="AS90"/>
    </row>
    <row r="91" spans="31:45" x14ac:dyDescent="0.3">
      <c r="AE91" s="16">
        <v>2028</v>
      </c>
      <c r="AF91" s="17">
        <v>1</v>
      </c>
      <c r="AG91" s="99">
        <f t="array" ref="AG91">MIN(IF('Diário de Operações'!$O$4:$O$9938=AF91,IF('Diário de Operações'!$P$4:$P$9938=Dinâmicas!AE91,'Diário de Operações'!$B$4:$B$9938)))</f>
        <v>0</v>
      </c>
      <c r="AH91" s="99">
        <f t="array" ref="AH91">MAX(IF('Diário de Operações'!$O$4:$O$9938=AF91,IF('Diário de Operações'!$P$4:$P$9938=Dinâmicas!AE91,'Diário de Operações'!$B$4:$B$9938)))</f>
        <v>0</v>
      </c>
      <c r="AI91" s="142" t="e">
        <f>VLOOKUP(AG91,'Diário de Operações'!B:T,18,0)</f>
        <v>#N/A</v>
      </c>
      <c r="AJ91" s="143">
        <f t="array" ref="AJ91">SUM(IF('Diário de Operações'!$O$4:$O$9938=Dinâmicas!AF91,IF('Diário de Operações'!$P$4:$P$9938=Dinâmicas!AE91,IF('Diário de Operações'!$U$4:$U$9938&gt;0,'Diário de Operações'!$U$4:$U$9938,"0"))))</f>
        <v>0</v>
      </c>
      <c r="AK91" s="143">
        <f t="array" ref="AK91">SUM(IF('Diário de Operações'!$O$4:$O$9938=Dinâmicas!AF91,IF('Diário de Operações'!$P$4:$P$9938=Dinâmicas!AE91,IF('Diário de Operações'!$U$4:$U$9938&lt;0,'Diário de Operações'!$U$4:$U$9938,"0"))))</f>
        <v>0</v>
      </c>
      <c r="AL91" s="142" t="e">
        <f>VLOOKUP(AH91,'Diário de Operações'!B:T,19,0)</f>
        <v>#N/A</v>
      </c>
      <c r="AM91" s="142" t="e">
        <f t="shared" si="5"/>
        <v>#N/A</v>
      </c>
      <c r="AN91" s="18" t="e">
        <f t="shared" si="7"/>
        <v>#N/A</v>
      </c>
      <c r="AO91" s="143">
        <f t="array" ref="AO91">MIN(IF('Diário de Operações'!$O$4:$O$9938=AF91,IF('Diário de Operações'!$P$4:$P$9938=Dinâmicas!AE91,'Diário de Operações'!$X$4:$X$9938)))</f>
        <v>0</v>
      </c>
      <c r="AP91" s="19" t="e">
        <f t="shared" si="6"/>
        <v>#N/A</v>
      </c>
      <c r="AS91"/>
    </row>
    <row r="92" spans="31:45" x14ac:dyDescent="0.3">
      <c r="AE92" s="16">
        <v>2028</v>
      </c>
      <c r="AF92" s="17">
        <v>2</v>
      </c>
      <c r="AG92" s="99">
        <f t="array" ref="AG92">MIN(IF('Diário de Operações'!$O$4:$O$9938=AF92,IF('Diário de Operações'!$P$4:$P$9938=Dinâmicas!AE92,'Diário de Operações'!$B$4:$B$9938)))</f>
        <v>0</v>
      </c>
      <c r="AH92" s="99">
        <f t="array" ref="AH92">MAX(IF('Diário de Operações'!$O$4:$O$9938=AF92,IF('Diário de Operações'!$P$4:$P$9938=Dinâmicas!AE92,'Diário de Operações'!$B$4:$B$9938)))</f>
        <v>0</v>
      </c>
      <c r="AI92" s="142" t="e">
        <f>VLOOKUP(AG92,'Diário de Operações'!B:T,18,0)</f>
        <v>#N/A</v>
      </c>
      <c r="AJ92" s="143">
        <f t="array" ref="AJ92">SUM(IF('Diário de Operações'!$O$4:$O$9938=Dinâmicas!AF92,IF('Diário de Operações'!$P$4:$P$9938=Dinâmicas!AE92,IF('Diário de Operações'!$U$4:$U$9938&gt;0,'Diário de Operações'!$U$4:$U$9938,"0"))))</f>
        <v>0</v>
      </c>
      <c r="AK92" s="143">
        <f t="array" ref="AK92">SUM(IF('Diário de Operações'!$O$4:$O$9938=Dinâmicas!AF92,IF('Diário de Operações'!$P$4:$P$9938=Dinâmicas!AE92,IF('Diário de Operações'!$U$4:$U$9938&lt;0,'Diário de Operações'!$U$4:$U$9938,"0"))))</f>
        <v>0</v>
      </c>
      <c r="AL92" s="142" t="e">
        <f>VLOOKUP(AH92,'Diário de Operações'!B:T,19,0)</f>
        <v>#N/A</v>
      </c>
      <c r="AM92" s="142" t="e">
        <f t="shared" si="5"/>
        <v>#N/A</v>
      </c>
      <c r="AN92" s="18" t="e">
        <f t="shared" si="7"/>
        <v>#N/A</v>
      </c>
      <c r="AO92" s="143">
        <f t="array" ref="AO92">MIN(IF('Diário de Operações'!$O$4:$O$9938=AF92,IF('Diário de Operações'!$P$4:$P$9938=Dinâmicas!AE92,'Diário de Operações'!$X$4:$X$9938)))</f>
        <v>0</v>
      </c>
      <c r="AP92" s="19" t="e">
        <f t="shared" si="6"/>
        <v>#N/A</v>
      </c>
      <c r="AS92"/>
    </row>
    <row r="93" spans="31:45" x14ac:dyDescent="0.3">
      <c r="AE93" s="16">
        <v>2028</v>
      </c>
      <c r="AF93" s="17">
        <v>3</v>
      </c>
      <c r="AG93" s="99">
        <f t="array" ref="AG93">MIN(IF('Diário de Operações'!$O$4:$O$9938=AF93,IF('Diário de Operações'!$P$4:$P$9938=Dinâmicas!AE93,'Diário de Operações'!$B$4:$B$9938)))</f>
        <v>0</v>
      </c>
      <c r="AH93" s="99">
        <f t="array" ref="AH93">MAX(IF('Diário de Operações'!$O$4:$O$9938=AF93,IF('Diário de Operações'!$P$4:$P$9938=Dinâmicas!AE93,'Diário de Operações'!$B$4:$B$9938)))</f>
        <v>0</v>
      </c>
      <c r="AI93" s="142" t="e">
        <f>VLOOKUP(AG93,'Diário de Operações'!B:T,18,0)</f>
        <v>#N/A</v>
      </c>
      <c r="AJ93" s="143">
        <f t="array" ref="AJ93">SUM(IF('Diário de Operações'!$O$4:$O$9938=Dinâmicas!AF93,IF('Diário de Operações'!$P$4:$P$9938=Dinâmicas!AE93,IF('Diário de Operações'!$U$4:$U$9938&gt;0,'Diário de Operações'!$U$4:$U$9938,"0"))))</f>
        <v>0</v>
      </c>
      <c r="AK93" s="143">
        <f t="array" ref="AK93">SUM(IF('Diário de Operações'!$O$4:$O$9938=Dinâmicas!AF93,IF('Diário de Operações'!$P$4:$P$9938=Dinâmicas!AE93,IF('Diário de Operações'!$U$4:$U$9938&lt;0,'Diário de Operações'!$U$4:$U$9938,"0"))))</f>
        <v>0</v>
      </c>
      <c r="AL93" s="142" t="e">
        <f>VLOOKUP(AH93,'Diário de Operações'!B:T,19,0)</f>
        <v>#N/A</v>
      </c>
      <c r="AM93" s="142" t="e">
        <f t="shared" si="5"/>
        <v>#N/A</v>
      </c>
      <c r="AN93" s="18" t="e">
        <f t="shared" si="7"/>
        <v>#N/A</v>
      </c>
      <c r="AO93" s="143">
        <f t="array" ref="AO93">MIN(IF('Diário de Operações'!$O$4:$O$9938=AF93,IF('Diário de Operações'!$P$4:$P$9938=Dinâmicas!AE93,'Diário de Operações'!$X$4:$X$9938)))</f>
        <v>0</v>
      </c>
      <c r="AP93" s="19" t="e">
        <f t="shared" si="6"/>
        <v>#N/A</v>
      </c>
      <c r="AS93"/>
    </row>
    <row r="94" spans="31:45" x14ac:dyDescent="0.3">
      <c r="AE94" s="16">
        <v>2028</v>
      </c>
      <c r="AF94" s="17">
        <v>4</v>
      </c>
      <c r="AG94" s="99">
        <f t="array" ref="AG94">MIN(IF('Diário de Operações'!$O$4:$O$9938=AF94,IF('Diário de Operações'!$P$4:$P$9938=Dinâmicas!AE94,'Diário de Operações'!$B$4:$B$9938)))</f>
        <v>0</v>
      </c>
      <c r="AH94" s="99">
        <f t="array" ref="AH94">MAX(IF('Diário de Operações'!$O$4:$O$9938=AF94,IF('Diário de Operações'!$P$4:$P$9938=Dinâmicas!AE94,'Diário de Operações'!$B$4:$B$9938)))</f>
        <v>0</v>
      </c>
      <c r="AI94" s="142" t="e">
        <f>VLOOKUP(AG94,'Diário de Operações'!B:T,18,0)</f>
        <v>#N/A</v>
      </c>
      <c r="AJ94" s="143">
        <f t="array" ref="AJ94">SUM(IF('Diário de Operações'!$O$4:$O$9938=Dinâmicas!AF94,IF('Diário de Operações'!$P$4:$P$9938=Dinâmicas!AE94,IF('Diário de Operações'!$U$4:$U$9938&gt;0,'Diário de Operações'!$U$4:$U$9938,"0"))))</f>
        <v>0</v>
      </c>
      <c r="AK94" s="143">
        <f t="array" ref="AK94">SUM(IF('Diário de Operações'!$O$4:$O$9938=Dinâmicas!AF94,IF('Diário de Operações'!$P$4:$P$9938=Dinâmicas!AE94,IF('Diário de Operações'!$U$4:$U$9938&lt;0,'Diário de Operações'!$U$4:$U$9938,"0"))))</f>
        <v>0</v>
      </c>
      <c r="AL94" s="142" t="e">
        <f>VLOOKUP(AH94,'Diário de Operações'!B:T,19,0)</f>
        <v>#N/A</v>
      </c>
      <c r="AM94" s="142" t="e">
        <f t="shared" si="5"/>
        <v>#N/A</v>
      </c>
      <c r="AN94" s="18" t="e">
        <f t="shared" si="7"/>
        <v>#N/A</v>
      </c>
      <c r="AO94" s="143">
        <f t="array" ref="AO94">MIN(IF('Diário de Operações'!$O$4:$O$9938=AF94,IF('Diário de Operações'!$P$4:$P$9938=Dinâmicas!AE94,'Diário de Operações'!$X$4:$X$9938)))</f>
        <v>0</v>
      </c>
      <c r="AP94" s="19" t="e">
        <f t="shared" si="6"/>
        <v>#N/A</v>
      </c>
      <c r="AS94"/>
    </row>
    <row r="95" spans="31:45" x14ac:dyDescent="0.3">
      <c r="AE95" s="16">
        <v>2028</v>
      </c>
      <c r="AF95" s="17">
        <v>5</v>
      </c>
      <c r="AG95" s="99">
        <f t="array" ref="AG95">MIN(IF('Diário de Operações'!$O$4:$O$9938=AF95,IF('Diário de Operações'!$P$4:$P$9938=Dinâmicas!AE95,'Diário de Operações'!$B$4:$B$9938)))</f>
        <v>0</v>
      </c>
      <c r="AH95" s="99">
        <f t="array" ref="AH95">MAX(IF('Diário de Operações'!$O$4:$O$9938=AF95,IF('Diário de Operações'!$P$4:$P$9938=Dinâmicas!AE95,'Diário de Operações'!$B$4:$B$9938)))</f>
        <v>0</v>
      </c>
      <c r="AI95" s="142" t="e">
        <f>VLOOKUP(AG95,'Diário de Operações'!B:T,18,0)</f>
        <v>#N/A</v>
      </c>
      <c r="AJ95" s="143">
        <f t="array" ref="AJ95">SUM(IF('Diário de Operações'!$O$4:$O$9938=Dinâmicas!AF95,IF('Diário de Operações'!$P$4:$P$9938=Dinâmicas!AE95,IF('Diário de Operações'!$U$4:$U$9938&gt;0,'Diário de Operações'!$U$4:$U$9938,"0"))))</f>
        <v>0</v>
      </c>
      <c r="AK95" s="143">
        <f t="array" ref="AK95">SUM(IF('Diário de Operações'!$O$4:$O$9938=Dinâmicas!AF95,IF('Diário de Operações'!$P$4:$P$9938=Dinâmicas!AE95,IF('Diário de Operações'!$U$4:$U$9938&lt;0,'Diário de Operações'!$U$4:$U$9938,"0"))))</f>
        <v>0</v>
      </c>
      <c r="AL95" s="142" t="e">
        <f>VLOOKUP(AH95,'Diário de Operações'!B:T,19,0)</f>
        <v>#N/A</v>
      </c>
      <c r="AM95" s="142" t="e">
        <f t="shared" si="5"/>
        <v>#N/A</v>
      </c>
      <c r="AN95" s="18" t="e">
        <f t="shared" si="7"/>
        <v>#N/A</v>
      </c>
      <c r="AO95" s="143">
        <f t="array" ref="AO95">MIN(IF('Diário de Operações'!$O$4:$O$9938=AF95,IF('Diário de Operações'!$P$4:$P$9938=Dinâmicas!AE95,'Diário de Operações'!$X$4:$X$9938)))</f>
        <v>0</v>
      </c>
      <c r="AP95" s="19" t="e">
        <f t="shared" si="6"/>
        <v>#N/A</v>
      </c>
      <c r="AS95"/>
    </row>
    <row r="96" spans="31:45" x14ac:dyDescent="0.3">
      <c r="AE96" s="16">
        <v>2028</v>
      </c>
      <c r="AF96" s="17">
        <v>6</v>
      </c>
      <c r="AG96" s="99">
        <f t="array" ref="AG96">MIN(IF('Diário de Operações'!$O$4:$O$9938=AF96,IF('Diário de Operações'!$P$4:$P$9938=Dinâmicas!AE96,'Diário de Operações'!$B$4:$B$9938)))</f>
        <v>0</v>
      </c>
      <c r="AH96" s="99">
        <f t="array" ref="AH96">MAX(IF('Diário de Operações'!$O$4:$O$9938=AF96,IF('Diário de Operações'!$P$4:$P$9938=Dinâmicas!AE96,'Diário de Operações'!$B$4:$B$9938)))</f>
        <v>0</v>
      </c>
      <c r="AI96" s="142" t="e">
        <f>VLOOKUP(AG96,'Diário de Operações'!B:T,18,0)</f>
        <v>#N/A</v>
      </c>
      <c r="AJ96" s="143">
        <f t="array" ref="AJ96">SUM(IF('Diário de Operações'!$O$4:$O$9938=Dinâmicas!AF96,IF('Diário de Operações'!$P$4:$P$9938=Dinâmicas!AE96,IF('Diário de Operações'!$U$4:$U$9938&gt;0,'Diário de Operações'!$U$4:$U$9938,"0"))))</f>
        <v>0</v>
      </c>
      <c r="AK96" s="143">
        <f t="array" ref="AK96">SUM(IF('Diário de Operações'!$O$4:$O$9938=Dinâmicas!AF96,IF('Diário de Operações'!$P$4:$P$9938=Dinâmicas!AE96,IF('Diário de Operações'!$U$4:$U$9938&lt;0,'Diário de Operações'!$U$4:$U$9938,"0"))))</f>
        <v>0</v>
      </c>
      <c r="AL96" s="142" t="e">
        <f>VLOOKUP(AH96,'Diário de Operações'!B:T,19,0)</f>
        <v>#N/A</v>
      </c>
      <c r="AM96" s="142" t="e">
        <f t="shared" si="5"/>
        <v>#N/A</v>
      </c>
      <c r="AN96" s="18" t="e">
        <f t="shared" si="7"/>
        <v>#N/A</v>
      </c>
      <c r="AO96" s="143">
        <f t="array" ref="AO96">MIN(IF('Diário de Operações'!$O$4:$O$9938=AF96,IF('Diário de Operações'!$P$4:$P$9938=Dinâmicas!AE96,'Diário de Operações'!$X$4:$X$9938)))</f>
        <v>0</v>
      </c>
      <c r="AP96" s="19" t="e">
        <f t="shared" si="6"/>
        <v>#N/A</v>
      </c>
      <c r="AS96"/>
    </row>
    <row r="97" spans="31:45" x14ac:dyDescent="0.3">
      <c r="AE97" s="16">
        <v>2028</v>
      </c>
      <c r="AF97" s="17">
        <v>7</v>
      </c>
      <c r="AG97" s="99">
        <f t="array" ref="AG97">MIN(IF('Diário de Operações'!$O$4:$O$9938=AF97,IF('Diário de Operações'!$P$4:$P$9938=Dinâmicas!AE97,'Diário de Operações'!$B$4:$B$9938)))</f>
        <v>0</v>
      </c>
      <c r="AH97" s="99">
        <f t="array" ref="AH97">MAX(IF('Diário de Operações'!$O$4:$O$9938=AF97,IF('Diário de Operações'!$P$4:$P$9938=Dinâmicas!AE97,'Diário de Operações'!$B$4:$B$9938)))</f>
        <v>0</v>
      </c>
      <c r="AI97" s="142" t="e">
        <f>VLOOKUP(AG97,'Diário de Operações'!B:T,18,0)</f>
        <v>#N/A</v>
      </c>
      <c r="AJ97" s="143">
        <f t="array" ref="AJ97">SUM(IF('Diário de Operações'!$O$4:$O$9938=Dinâmicas!AF97,IF('Diário de Operações'!$P$4:$P$9938=Dinâmicas!AE97,IF('Diário de Operações'!$U$4:$U$9938&gt;0,'Diário de Operações'!$U$4:$U$9938,"0"))))</f>
        <v>0</v>
      </c>
      <c r="AK97" s="143">
        <f t="array" ref="AK97">SUM(IF('Diário de Operações'!$O$4:$O$9938=Dinâmicas!AF97,IF('Diário de Operações'!$P$4:$P$9938=Dinâmicas!AE97,IF('Diário de Operações'!$U$4:$U$9938&lt;0,'Diário de Operações'!$U$4:$U$9938,"0"))))</f>
        <v>0</v>
      </c>
      <c r="AL97" s="142" t="e">
        <f>VLOOKUP(AH97,'Diário de Operações'!B:T,19,0)</f>
        <v>#N/A</v>
      </c>
      <c r="AM97" s="142" t="e">
        <f t="shared" si="5"/>
        <v>#N/A</v>
      </c>
      <c r="AN97" s="18" t="e">
        <f t="shared" si="7"/>
        <v>#N/A</v>
      </c>
      <c r="AO97" s="143">
        <f t="array" ref="AO97">MIN(IF('Diário de Operações'!$O$4:$O$9938=AF97,IF('Diário de Operações'!$P$4:$P$9938=Dinâmicas!AE97,'Diário de Operações'!$X$4:$X$9938)))</f>
        <v>0</v>
      </c>
      <c r="AP97" s="19" t="e">
        <f t="shared" si="6"/>
        <v>#N/A</v>
      </c>
      <c r="AS97"/>
    </row>
    <row r="98" spans="31:45" x14ac:dyDescent="0.3">
      <c r="AE98" s="16">
        <v>2028</v>
      </c>
      <c r="AF98" s="17">
        <v>8</v>
      </c>
      <c r="AG98" s="99">
        <f t="array" ref="AG98">MIN(IF('Diário de Operações'!$O$4:$O$9938=AF98,IF('Diário de Operações'!$P$4:$P$9938=Dinâmicas!AE98,'Diário de Operações'!$B$4:$B$9938)))</f>
        <v>0</v>
      </c>
      <c r="AH98" s="99">
        <f t="array" ref="AH98">MAX(IF('Diário de Operações'!$O$4:$O$9938=AF98,IF('Diário de Operações'!$P$4:$P$9938=Dinâmicas!AE98,'Diário de Operações'!$B$4:$B$9938)))</f>
        <v>0</v>
      </c>
      <c r="AI98" s="142" t="e">
        <f>VLOOKUP(AG98,'Diário de Operações'!B:T,18,0)</f>
        <v>#N/A</v>
      </c>
      <c r="AJ98" s="143">
        <f t="array" ref="AJ98">SUM(IF('Diário de Operações'!$O$4:$O$9938=Dinâmicas!AF98,IF('Diário de Operações'!$P$4:$P$9938=Dinâmicas!AE98,IF('Diário de Operações'!$U$4:$U$9938&gt;0,'Diário de Operações'!$U$4:$U$9938,"0"))))</f>
        <v>0</v>
      </c>
      <c r="AK98" s="143">
        <f t="array" ref="AK98">SUM(IF('Diário de Operações'!$O$4:$O$9938=Dinâmicas!AF98,IF('Diário de Operações'!$P$4:$P$9938=Dinâmicas!AE98,IF('Diário de Operações'!$U$4:$U$9938&lt;0,'Diário de Operações'!$U$4:$U$9938,"0"))))</f>
        <v>0</v>
      </c>
      <c r="AL98" s="142" t="e">
        <f>VLOOKUP(AH98,'Diário de Operações'!B:T,19,0)</f>
        <v>#N/A</v>
      </c>
      <c r="AM98" s="142" t="e">
        <f t="shared" si="5"/>
        <v>#N/A</v>
      </c>
      <c r="AN98" s="18" t="e">
        <f t="shared" si="7"/>
        <v>#N/A</v>
      </c>
      <c r="AO98" s="143">
        <f t="array" ref="AO98">MIN(IF('Diário de Operações'!$O$4:$O$9938=AF98,IF('Diário de Operações'!$P$4:$P$9938=Dinâmicas!AE98,'Diário de Operações'!$X$4:$X$9938)))</f>
        <v>0</v>
      </c>
      <c r="AP98" s="19" t="e">
        <f t="shared" si="6"/>
        <v>#N/A</v>
      </c>
      <c r="AS98"/>
    </row>
    <row r="99" spans="31:45" x14ac:dyDescent="0.3">
      <c r="AE99" s="16">
        <v>2028</v>
      </c>
      <c r="AF99" s="17">
        <v>9</v>
      </c>
      <c r="AG99" s="99">
        <f t="array" ref="AG99">MIN(IF('Diário de Operações'!$O$4:$O$9938=AF99,IF('Diário de Operações'!$P$4:$P$9938=Dinâmicas!AE99,'Diário de Operações'!$B$4:$B$9938)))</f>
        <v>0</v>
      </c>
      <c r="AH99" s="99">
        <f t="array" ref="AH99">MAX(IF('Diário de Operações'!$O$4:$O$9938=AF99,IF('Diário de Operações'!$P$4:$P$9938=Dinâmicas!AE99,'Diário de Operações'!$B$4:$B$9938)))</f>
        <v>0</v>
      </c>
      <c r="AI99" s="142" t="e">
        <f>VLOOKUP(AG99,'Diário de Operações'!B:T,18,0)</f>
        <v>#N/A</v>
      </c>
      <c r="AJ99" s="143">
        <f t="array" ref="AJ99">SUM(IF('Diário de Operações'!$O$4:$O$9938=Dinâmicas!AF99,IF('Diário de Operações'!$P$4:$P$9938=Dinâmicas!AE99,IF('Diário de Operações'!$U$4:$U$9938&gt;0,'Diário de Operações'!$U$4:$U$9938,"0"))))</f>
        <v>0</v>
      </c>
      <c r="AK99" s="143">
        <f t="array" ref="AK99">SUM(IF('Diário de Operações'!$O$4:$O$9938=Dinâmicas!AF99,IF('Diário de Operações'!$P$4:$P$9938=Dinâmicas!AE99,IF('Diário de Operações'!$U$4:$U$9938&lt;0,'Diário de Operações'!$U$4:$U$9938,"0"))))</f>
        <v>0</v>
      </c>
      <c r="AL99" s="142" t="e">
        <f>VLOOKUP(AH99,'Diário de Operações'!B:T,19,0)</f>
        <v>#N/A</v>
      </c>
      <c r="AM99" s="142" t="e">
        <f t="shared" ref="AM99:AM130" si="8">IF(AG98=AH98,AL99-(AJ99+AK99),(AL99-AI99)-(AJ99+AK99))</f>
        <v>#N/A</v>
      </c>
      <c r="AN99" s="18" t="e">
        <f t="shared" si="7"/>
        <v>#N/A</v>
      </c>
      <c r="AO99" s="143">
        <f t="array" ref="AO99">MIN(IF('Diário de Operações'!$O$4:$O$9938=AF99,IF('Diário de Operações'!$P$4:$P$9938=Dinâmicas!AE99,'Diário de Operações'!$X$4:$X$9938)))</f>
        <v>0</v>
      </c>
      <c r="AP99" s="19" t="e">
        <f t="shared" si="6"/>
        <v>#N/A</v>
      </c>
      <c r="AS99"/>
    </row>
    <row r="100" spans="31:45" x14ac:dyDescent="0.3">
      <c r="AE100" s="16">
        <v>2028</v>
      </c>
      <c r="AF100" s="17">
        <v>10</v>
      </c>
      <c r="AG100" s="99">
        <f t="array" ref="AG100">MIN(IF('Diário de Operações'!$O$4:$O$9938=AF100,IF('Diário de Operações'!$P$4:$P$9938=Dinâmicas!AE100,'Diário de Operações'!$B$4:$B$9938)))</f>
        <v>0</v>
      </c>
      <c r="AH100" s="99">
        <f t="array" ref="AH100">MAX(IF('Diário de Operações'!$O$4:$O$9938=AF100,IF('Diário de Operações'!$P$4:$P$9938=Dinâmicas!AE100,'Diário de Operações'!$B$4:$B$9938)))</f>
        <v>0</v>
      </c>
      <c r="AI100" s="142" t="e">
        <f>VLOOKUP(AG100,'Diário de Operações'!B:T,18,0)</f>
        <v>#N/A</v>
      </c>
      <c r="AJ100" s="143">
        <f t="array" ref="AJ100">SUM(IF('Diário de Operações'!$O$4:$O$9938=Dinâmicas!AF100,IF('Diário de Operações'!$P$4:$P$9938=Dinâmicas!AE100,IF('Diário de Operações'!$U$4:$U$9938&gt;0,'Diário de Operações'!$U$4:$U$9938,"0"))))</f>
        <v>0</v>
      </c>
      <c r="AK100" s="143">
        <f t="array" ref="AK100">SUM(IF('Diário de Operações'!$O$4:$O$9938=Dinâmicas!AF100,IF('Diário de Operações'!$P$4:$P$9938=Dinâmicas!AE100,IF('Diário de Operações'!$U$4:$U$9938&lt;0,'Diário de Operações'!$U$4:$U$9938,"0"))))</f>
        <v>0</v>
      </c>
      <c r="AL100" s="142" t="e">
        <f>VLOOKUP(AH100,'Diário de Operações'!B:T,19,0)</f>
        <v>#N/A</v>
      </c>
      <c r="AM100" s="142" t="e">
        <f t="shared" si="8"/>
        <v>#N/A</v>
      </c>
      <c r="AN100" s="18" t="e">
        <f t="shared" si="7"/>
        <v>#N/A</v>
      </c>
      <c r="AO100" s="143">
        <f t="array" ref="AO100">MIN(IF('Diário de Operações'!$O$4:$O$9938=AF100,IF('Diário de Operações'!$P$4:$P$9938=Dinâmicas!AE100,'Diário de Operações'!$X$4:$X$9938)))</f>
        <v>0</v>
      </c>
      <c r="AP100" s="19" t="e">
        <f t="shared" si="6"/>
        <v>#N/A</v>
      </c>
      <c r="AS100"/>
    </row>
    <row r="101" spans="31:45" x14ac:dyDescent="0.3">
      <c r="AE101" s="16">
        <v>2028</v>
      </c>
      <c r="AF101" s="17">
        <v>11</v>
      </c>
      <c r="AG101" s="99">
        <f t="array" ref="AG101">MIN(IF('Diário de Operações'!$O$4:$O$9938=AF101,IF('Diário de Operações'!$P$4:$P$9938=Dinâmicas!AE101,'Diário de Operações'!$B$4:$B$9938)))</f>
        <v>0</v>
      </c>
      <c r="AH101" s="99">
        <f t="array" ref="AH101">MAX(IF('Diário de Operações'!$O$4:$O$9938=AF101,IF('Diário de Operações'!$P$4:$P$9938=Dinâmicas!AE101,'Diário de Operações'!$B$4:$B$9938)))</f>
        <v>0</v>
      </c>
      <c r="AI101" s="142" t="e">
        <f>VLOOKUP(AG101,'Diário de Operações'!B:T,18,0)</f>
        <v>#N/A</v>
      </c>
      <c r="AJ101" s="143">
        <f t="array" ref="AJ101">SUM(IF('Diário de Operações'!$O$4:$O$9938=Dinâmicas!AF101,IF('Diário de Operações'!$P$4:$P$9938=Dinâmicas!AE101,IF('Diário de Operações'!$U$4:$U$9938&gt;0,'Diário de Operações'!$U$4:$U$9938,"0"))))</f>
        <v>0</v>
      </c>
      <c r="AK101" s="143">
        <f t="array" ref="AK101">SUM(IF('Diário de Operações'!$O$4:$O$9938=Dinâmicas!AF101,IF('Diário de Operações'!$P$4:$P$9938=Dinâmicas!AE101,IF('Diário de Operações'!$U$4:$U$9938&lt;0,'Diário de Operações'!$U$4:$U$9938,"0"))))</f>
        <v>0</v>
      </c>
      <c r="AL101" s="142" t="e">
        <f>VLOOKUP(AH101,'Diário de Operações'!B:T,19,0)</f>
        <v>#N/A</v>
      </c>
      <c r="AM101" s="142" t="e">
        <f t="shared" si="8"/>
        <v>#N/A</v>
      </c>
      <c r="AN101" s="18" t="e">
        <f t="shared" si="7"/>
        <v>#N/A</v>
      </c>
      <c r="AO101" s="143">
        <f t="array" ref="AO101">MIN(IF('Diário de Operações'!$O$4:$O$9938=AF101,IF('Diário de Operações'!$P$4:$P$9938=Dinâmicas!AE101,'Diário de Operações'!$X$4:$X$9938)))</f>
        <v>0</v>
      </c>
      <c r="AP101" s="19" t="e">
        <f t="shared" si="6"/>
        <v>#N/A</v>
      </c>
      <c r="AS101"/>
    </row>
    <row r="102" spans="31:45" x14ac:dyDescent="0.3">
      <c r="AE102" s="16">
        <v>2028</v>
      </c>
      <c r="AF102" s="17">
        <v>12</v>
      </c>
      <c r="AG102" s="99">
        <f t="array" ref="AG102">MIN(IF('Diário de Operações'!$O$4:$O$9938=AF102,IF('Diário de Operações'!$P$4:$P$9938=Dinâmicas!AE102,'Diário de Operações'!$B$4:$B$9938)))</f>
        <v>0</v>
      </c>
      <c r="AH102" s="99">
        <f t="array" ref="AH102">MAX(IF('Diário de Operações'!$O$4:$O$9938=AF102,IF('Diário de Operações'!$P$4:$P$9938=Dinâmicas!AE102,'Diário de Operações'!$B$4:$B$9938)))</f>
        <v>0</v>
      </c>
      <c r="AI102" s="142" t="e">
        <f>VLOOKUP(AG102,'Diário de Operações'!B:T,18,0)</f>
        <v>#N/A</v>
      </c>
      <c r="AJ102" s="143">
        <f t="array" ref="AJ102">SUM(IF('Diário de Operações'!$O$4:$O$9938=Dinâmicas!AF102,IF('Diário de Operações'!$P$4:$P$9938=Dinâmicas!AE102,IF('Diário de Operações'!$U$4:$U$9938&gt;0,'Diário de Operações'!$U$4:$U$9938,"0"))))</f>
        <v>0</v>
      </c>
      <c r="AK102" s="143">
        <f t="array" ref="AK102">SUM(IF('Diário de Operações'!$O$4:$O$9938=Dinâmicas!AF102,IF('Diário de Operações'!$P$4:$P$9938=Dinâmicas!AE102,IF('Diário de Operações'!$U$4:$U$9938&lt;0,'Diário de Operações'!$U$4:$U$9938,"0"))))</f>
        <v>0</v>
      </c>
      <c r="AL102" s="142" t="e">
        <f>VLOOKUP(AH102,'Diário de Operações'!B:T,19,0)</f>
        <v>#N/A</v>
      </c>
      <c r="AM102" s="142" t="e">
        <f t="shared" si="8"/>
        <v>#N/A</v>
      </c>
      <c r="AN102" s="18" t="e">
        <f t="shared" si="7"/>
        <v>#N/A</v>
      </c>
      <c r="AO102" s="143">
        <f t="array" ref="AO102">MIN(IF('Diário de Operações'!$O$4:$O$9938=AF102,IF('Diário de Operações'!$P$4:$P$9938=Dinâmicas!AE102,'Diário de Operações'!$X$4:$X$9938)))</f>
        <v>0</v>
      </c>
      <c r="AP102" s="19" t="e">
        <f t="shared" si="6"/>
        <v>#N/A</v>
      </c>
      <c r="AS102"/>
    </row>
    <row r="103" spans="31:45" x14ac:dyDescent="0.3">
      <c r="AE103" s="16">
        <v>2029</v>
      </c>
      <c r="AF103" s="17">
        <v>1</v>
      </c>
      <c r="AG103" s="99">
        <f t="array" ref="AG103">MIN(IF('Diário de Operações'!$O$4:$O$9938=AF103,IF('Diário de Operações'!$P$4:$P$9938=Dinâmicas!AE103,'Diário de Operações'!$B$4:$B$9938)))</f>
        <v>0</v>
      </c>
      <c r="AH103" s="99">
        <f t="array" ref="AH103">MAX(IF('Diário de Operações'!$O$4:$O$9938=AF103,IF('Diário de Operações'!$P$4:$P$9938=Dinâmicas!AE103,'Diário de Operações'!$B$4:$B$9938)))</f>
        <v>0</v>
      </c>
      <c r="AI103" s="142" t="e">
        <f>VLOOKUP(AG103,'Diário de Operações'!B:T,18,0)</f>
        <v>#N/A</v>
      </c>
      <c r="AJ103" s="143">
        <f t="array" ref="AJ103">SUM(IF('Diário de Operações'!$O$4:$O$9938=Dinâmicas!AF103,IF('Diário de Operações'!$P$4:$P$9938=Dinâmicas!AE103,IF('Diário de Operações'!$U$4:$U$9938&gt;0,'Diário de Operações'!$U$4:$U$9938,"0"))))</f>
        <v>0</v>
      </c>
      <c r="AK103" s="143">
        <f t="array" ref="AK103">SUM(IF('Diário de Operações'!$O$4:$O$9938=Dinâmicas!AF103,IF('Diário de Operações'!$P$4:$P$9938=Dinâmicas!AE103,IF('Diário de Operações'!$U$4:$U$9938&lt;0,'Diário de Operações'!$U$4:$U$9938,"0"))))</f>
        <v>0</v>
      </c>
      <c r="AL103" s="142" t="e">
        <f>VLOOKUP(AH103,'Diário de Operações'!B:T,19,0)</f>
        <v>#N/A</v>
      </c>
      <c r="AM103" s="142" t="e">
        <f t="shared" si="8"/>
        <v>#N/A</v>
      </c>
      <c r="AN103" s="18" t="e">
        <f t="shared" si="7"/>
        <v>#N/A</v>
      </c>
      <c r="AO103" s="143">
        <f t="array" ref="AO103">MIN(IF('Diário de Operações'!$O$4:$O$9938=AF103,IF('Diário de Operações'!$P$4:$P$9938=Dinâmicas!AE103,'Diário de Operações'!$X$4:$X$9938)))</f>
        <v>0</v>
      </c>
      <c r="AP103" s="19" t="e">
        <f t="shared" si="6"/>
        <v>#N/A</v>
      </c>
      <c r="AS103"/>
    </row>
    <row r="104" spans="31:45" x14ac:dyDescent="0.3">
      <c r="AE104" s="16">
        <v>2029</v>
      </c>
      <c r="AF104" s="17">
        <v>2</v>
      </c>
      <c r="AG104" s="99">
        <f t="array" ref="AG104">MIN(IF('Diário de Operações'!$O$4:$O$9938=AF104,IF('Diário de Operações'!$P$4:$P$9938=Dinâmicas!AE104,'Diário de Operações'!$B$4:$B$9938)))</f>
        <v>0</v>
      </c>
      <c r="AH104" s="99">
        <f t="array" ref="AH104">MAX(IF('Diário de Operações'!$O$4:$O$9938=AF104,IF('Diário de Operações'!$P$4:$P$9938=Dinâmicas!AE104,'Diário de Operações'!$B$4:$B$9938)))</f>
        <v>0</v>
      </c>
      <c r="AI104" s="142" t="e">
        <f>VLOOKUP(AG104,'Diário de Operações'!B:T,18,0)</f>
        <v>#N/A</v>
      </c>
      <c r="AJ104" s="143">
        <f t="array" ref="AJ104">SUM(IF('Diário de Operações'!$O$4:$O$9938=Dinâmicas!AF104,IF('Diário de Operações'!$P$4:$P$9938=Dinâmicas!AE104,IF('Diário de Operações'!$U$4:$U$9938&gt;0,'Diário de Operações'!$U$4:$U$9938,"0"))))</f>
        <v>0</v>
      </c>
      <c r="AK104" s="143">
        <f t="array" ref="AK104">SUM(IF('Diário de Operações'!$O$4:$O$9938=Dinâmicas!AF104,IF('Diário de Operações'!$P$4:$P$9938=Dinâmicas!AE104,IF('Diário de Operações'!$U$4:$U$9938&lt;0,'Diário de Operações'!$U$4:$U$9938,"0"))))</f>
        <v>0</v>
      </c>
      <c r="AL104" s="142" t="e">
        <f>VLOOKUP(AH104,'Diário de Operações'!B:T,19,0)</f>
        <v>#N/A</v>
      </c>
      <c r="AM104" s="142" t="e">
        <f t="shared" si="8"/>
        <v>#N/A</v>
      </c>
      <c r="AN104" s="18" t="e">
        <f t="shared" si="7"/>
        <v>#N/A</v>
      </c>
      <c r="AO104" s="143">
        <f t="array" ref="AO104">MIN(IF('Diário de Operações'!$O$4:$O$9938=AF104,IF('Diário de Operações'!$P$4:$P$9938=Dinâmicas!AE104,'Diário de Operações'!$X$4:$X$9938)))</f>
        <v>0</v>
      </c>
      <c r="AP104" s="19" t="e">
        <f t="shared" si="6"/>
        <v>#N/A</v>
      </c>
      <c r="AS104"/>
    </row>
    <row r="105" spans="31:45" x14ac:dyDescent="0.3">
      <c r="AE105" s="16">
        <v>2029</v>
      </c>
      <c r="AF105" s="17">
        <v>3</v>
      </c>
      <c r="AG105" s="99">
        <f t="array" ref="AG105">MIN(IF('Diário de Operações'!$O$4:$O$9938=AF105,IF('Diário de Operações'!$P$4:$P$9938=Dinâmicas!AE105,'Diário de Operações'!$B$4:$B$9938)))</f>
        <v>0</v>
      </c>
      <c r="AH105" s="99">
        <f t="array" ref="AH105">MAX(IF('Diário de Operações'!$O$4:$O$9938=AF105,IF('Diário de Operações'!$P$4:$P$9938=Dinâmicas!AE105,'Diário de Operações'!$B$4:$B$9938)))</f>
        <v>0</v>
      </c>
      <c r="AI105" s="142" t="e">
        <f>VLOOKUP(AG105,'Diário de Operações'!B:T,18,0)</f>
        <v>#N/A</v>
      </c>
      <c r="AJ105" s="143">
        <f t="array" ref="AJ105">SUM(IF('Diário de Operações'!$O$4:$O$9938=Dinâmicas!AF105,IF('Diário de Operações'!$P$4:$P$9938=Dinâmicas!AE105,IF('Diário de Operações'!$U$4:$U$9938&gt;0,'Diário de Operações'!$U$4:$U$9938,"0"))))</f>
        <v>0</v>
      </c>
      <c r="AK105" s="143">
        <f t="array" ref="AK105">SUM(IF('Diário de Operações'!$O$4:$O$9938=Dinâmicas!AF105,IF('Diário de Operações'!$P$4:$P$9938=Dinâmicas!AE105,IF('Diário de Operações'!$U$4:$U$9938&lt;0,'Diário de Operações'!$U$4:$U$9938,"0"))))</f>
        <v>0</v>
      </c>
      <c r="AL105" s="142" t="e">
        <f>VLOOKUP(AH105,'Diário de Operações'!B:T,19,0)</f>
        <v>#N/A</v>
      </c>
      <c r="AM105" s="142" t="e">
        <f t="shared" si="8"/>
        <v>#N/A</v>
      </c>
      <c r="AN105" s="18" t="e">
        <f t="shared" si="7"/>
        <v>#N/A</v>
      </c>
      <c r="AO105" s="143">
        <f t="array" ref="AO105">MIN(IF('Diário de Operações'!$O$4:$O$9938=AF105,IF('Diário de Operações'!$P$4:$P$9938=Dinâmicas!AE105,'Diário de Operações'!$X$4:$X$9938)))</f>
        <v>0</v>
      </c>
      <c r="AP105" s="19" t="e">
        <f t="shared" si="6"/>
        <v>#N/A</v>
      </c>
      <c r="AS105"/>
    </row>
    <row r="106" spans="31:45" x14ac:dyDescent="0.3">
      <c r="AE106" s="16">
        <v>2029</v>
      </c>
      <c r="AF106" s="17">
        <v>4</v>
      </c>
      <c r="AG106" s="99">
        <f t="array" ref="AG106">MIN(IF('Diário de Operações'!$O$4:$O$9938=AF106,IF('Diário de Operações'!$P$4:$P$9938=Dinâmicas!AE106,'Diário de Operações'!$B$4:$B$9938)))</f>
        <v>0</v>
      </c>
      <c r="AH106" s="99">
        <f t="array" ref="AH106">MAX(IF('Diário de Operações'!$O$4:$O$9938=AF106,IF('Diário de Operações'!$P$4:$P$9938=Dinâmicas!AE106,'Diário de Operações'!$B$4:$B$9938)))</f>
        <v>0</v>
      </c>
      <c r="AI106" s="142" t="e">
        <f>VLOOKUP(AG106,'Diário de Operações'!B:T,18,0)</f>
        <v>#N/A</v>
      </c>
      <c r="AJ106" s="143">
        <f t="array" ref="AJ106">SUM(IF('Diário de Operações'!$O$4:$O$9938=Dinâmicas!AF106,IF('Diário de Operações'!$P$4:$P$9938=Dinâmicas!AE106,IF('Diário de Operações'!$U$4:$U$9938&gt;0,'Diário de Operações'!$U$4:$U$9938,"0"))))</f>
        <v>0</v>
      </c>
      <c r="AK106" s="143">
        <f t="array" ref="AK106">SUM(IF('Diário de Operações'!$O$4:$O$9938=Dinâmicas!AF106,IF('Diário de Operações'!$P$4:$P$9938=Dinâmicas!AE106,IF('Diário de Operações'!$U$4:$U$9938&lt;0,'Diário de Operações'!$U$4:$U$9938,"0"))))</f>
        <v>0</v>
      </c>
      <c r="AL106" s="142" t="e">
        <f>VLOOKUP(AH106,'Diário de Operações'!B:T,19,0)</f>
        <v>#N/A</v>
      </c>
      <c r="AM106" s="142" t="e">
        <f t="shared" si="8"/>
        <v>#N/A</v>
      </c>
      <c r="AN106" s="18" t="e">
        <f t="shared" si="7"/>
        <v>#N/A</v>
      </c>
      <c r="AO106" s="143">
        <f t="array" ref="AO106">MIN(IF('Diário de Operações'!$O$4:$O$9938=AF106,IF('Diário de Operações'!$P$4:$P$9938=Dinâmicas!AE106,'Diário de Operações'!$X$4:$X$9938)))</f>
        <v>0</v>
      </c>
      <c r="AP106" s="19" t="e">
        <f t="shared" si="6"/>
        <v>#N/A</v>
      </c>
      <c r="AS106"/>
    </row>
    <row r="107" spans="31:45" x14ac:dyDescent="0.3">
      <c r="AE107" s="16">
        <v>2029</v>
      </c>
      <c r="AF107" s="17">
        <v>5</v>
      </c>
      <c r="AG107" s="99">
        <f t="array" ref="AG107">MIN(IF('Diário de Operações'!$O$4:$O$9938=AF107,IF('Diário de Operações'!$P$4:$P$9938=Dinâmicas!AE107,'Diário de Operações'!$B$4:$B$9938)))</f>
        <v>0</v>
      </c>
      <c r="AH107" s="99">
        <f t="array" ref="AH107">MAX(IF('Diário de Operações'!$O$4:$O$9938=AF107,IF('Diário de Operações'!$P$4:$P$9938=Dinâmicas!AE107,'Diário de Operações'!$B$4:$B$9938)))</f>
        <v>0</v>
      </c>
      <c r="AI107" s="142" t="e">
        <f>VLOOKUP(AG107,'Diário de Operações'!B:T,18,0)</f>
        <v>#N/A</v>
      </c>
      <c r="AJ107" s="143">
        <f t="array" ref="AJ107">SUM(IF('Diário de Operações'!$O$4:$O$9938=Dinâmicas!AF107,IF('Diário de Operações'!$P$4:$P$9938=Dinâmicas!AE107,IF('Diário de Operações'!$U$4:$U$9938&gt;0,'Diário de Operações'!$U$4:$U$9938,"0"))))</f>
        <v>0</v>
      </c>
      <c r="AK107" s="143">
        <f t="array" ref="AK107">SUM(IF('Diário de Operações'!$O$4:$O$9938=Dinâmicas!AF107,IF('Diário de Operações'!$P$4:$P$9938=Dinâmicas!AE107,IF('Diário de Operações'!$U$4:$U$9938&lt;0,'Diário de Operações'!$U$4:$U$9938,"0"))))</f>
        <v>0</v>
      </c>
      <c r="AL107" s="142" t="e">
        <f>VLOOKUP(AH107,'Diário de Operações'!B:T,19,0)</f>
        <v>#N/A</v>
      </c>
      <c r="AM107" s="142" t="e">
        <f t="shared" si="8"/>
        <v>#N/A</v>
      </c>
      <c r="AN107" s="18" t="e">
        <f t="shared" si="7"/>
        <v>#N/A</v>
      </c>
      <c r="AO107" s="143">
        <f t="array" ref="AO107">MIN(IF('Diário de Operações'!$O$4:$O$9938=AF107,IF('Diário de Operações'!$P$4:$P$9938=Dinâmicas!AE107,'Diário de Operações'!$X$4:$X$9938)))</f>
        <v>0</v>
      </c>
      <c r="AP107" s="19" t="e">
        <f t="shared" si="6"/>
        <v>#N/A</v>
      </c>
      <c r="AS107"/>
    </row>
    <row r="108" spans="31:45" x14ac:dyDescent="0.3">
      <c r="AE108" s="16">
        <v>2029</v>
      </c>
      <c r="AF108" s="17">
        <v>6</v>
      </c>
      <c r="AG108" s="99">
        <f t="array" ref="AG108">MIN(IF('Diário de Operações'!$O$4:$O$9938=AF108,IF('Diário de Operações'!$P$4:$P$9938=Dinâmicas!AE108,'Diário de Operações'!$B$4:$B$9938)))</f>
        <v>0</v>
      </c>
      <c r="AH108" s="99">
        <f t="array" ref="AH108">MAX(IF('Diário de Operações'!$O$4:$O$9938=AF108,IF('Diário de Operações'!$P$4:$P$9938=Dinâmicas!AE108,'Diário de Operações'!$B$4:$B$9938)))</f>
        <v>0</v>
      </c>
      <c r="AI108" s="142" t="e">
        <f>VLOOKUP(AG108,'Diário de Operações'!B:T,18,0)</f>
        <v>#N/A</v>
      </c>
      <c r="AJ108" s="143">
        <f t="array" ref="AJ108">SUM(IF('Diário de Operações'!$O$4:$O$9938=Dinâmicas!AF108,IF('Diário de Operações'!$P$4:$P$9938=Dinâmicas!AE108,IF('Diário de Operações'!$U$4:$U$9938&gt;0,'Diário de Operações'!$U$4:$U$9938,"0"))))</f>
        <v>0</v>
      </c>
      <c r="AK108" s="143">
        <f t="array" ref="AK108">SUM(IF('Diário de Operações'!$O$4:$O$9938=Dinâmicas!AF108,IF('Diário de Operações'!$P$4:$P$9938=Dinâmicas!AE108,IF('Diário de Operações'!$U$4:$U$9938&lt;0,'Diário de Operações'!$U$4:$U$9938,"0"))))</f>
        <v>0</v>
      </c>
      <c r="AL108" s="142" t="e">
        <f>VLOOKUP(AH108,'Diário de Operações'!B:T,19,0)</f>
        <v>#N/A</v>
      </c>
      <c r="AM108" s="142" t="e">
        <f t="shared" si="8"/>
        <v>#N/A</v>
      </c>
      <c r="AN108" s="18" t="e">
        <f t="shared" si="7"/>
        <v>#N/A</v>
      </c>
      <c r="AO108" s="143">
        <f t="array" ref="AO108">MIN(IF('Diário de Operações'!$O$4:$O$9938=AF108,IF('Diário de Operações'!$P$4:$P$9938=Dinâmicas!AE108,'Diário de Operações'!$X$4:$X$9938)))</f>
        <v>0</v>
      </c>
      <c r="AP108" s="19" t="e">
        <f t="shared" si="6"/>
        <v>#N/A</v>
      </c>
      <c r="AS108"/>
    </row>
    <row r="109" spans="31:45" x14ac:dyDescent="0.3">
      <c r="AE109" s="16">
        <v>2029</v>
      </c>
      <c r="AF109" s="17">
        <v>7</v>
      </c>
      <c r="AG109" s="99">
        <f t="array" ref="AG109">MIN(IF('Diário de Operações'!$O$4:$O$9938=AF109,IF('Diário de Operações'!$P$4:$P$9938=Dinâmicas!AE109,'Diário de Operações'!$B$4:$B$9938)))</f>
        <v>0</v>
      </c>
      <c r="AH109" s="99">
        <f t="array" ref="AH109">MAX(IF('Diário de Operações'!$O$4:$O$9938=AF109,IF('Diário de Operações'!$P$4:$P$9938=Dinâmicas!AE109,'Diário de Operações'!$B$4:$B$9938)))</f>
        <v>0</v>
      </c>
      <c r="AI109" s="142" t="e">
        <f>VLOOKUP(AG109,'Diário de Operações'!B:T,18,0)</f>
        <v>#N/A</v>
      </c>
      <c r="AJ109" s="143">
        <f t="array" ref="AJ109">SUM(IF('Diário de Operações'!$O$4:$O$9938=Dinâmicas!AF109,IF('Diário de Operações'!$P$4:$P$9938=Dinâmicas!AE109,IF('Diário de Operações'!$U$4:$U$9938&gt;0,'Diário de Operações'!$U$4:$U$9938,"0"))))</f>
        <v>0</v>
      </c>
      <c r="AK109" s="143">
        <f t="array" ref="AK109">SUM(IF('Diário de Operações'!$O$4:$O$9938=Dinâmicas!AF109,IF('Diário de Operações'!$P$4:$P$9938=Dinâmicas!AE109,IF('Diário de Operações'!$U$4:$U$9938&lt;0,'Diário de Operações'!$U$4:$U$9938,"0"))))</f>
        <v>0</v>
      </c>
      <c r="AL109" s="142" t="e">
        <f>VLOOKUP(AH109,'Diário de Operações'!B:T,19,0)</f>
        <v>#N/A</v>
      </c>
      <c r="AM109" s="142" t="e">
        <f t="shared" si="8"/>
        <v>#N/A</v>
      </c>
      <c r="AN109" s="18" t="e">
        <f t="shared" si="7"/>
        <v>#N/A</v>
      </c>
      <c r="AO109" s="143">
        <f t="array" ref="AO109">MIN(IF('Diário de Operações'!$O$4:$O$9938=AF109,IF('Diário de Operações'!$P$4:$P$9938=Dinâmicas!AE109,'Diário de Operações'!$X$4:$X$9938)))</f>
        <v>0</v>
      </c>
      <c r="AP109" s="19" t="e">
        <f t="shared" si="6"/>
        <v>#N/A</v>
      </c>
      <c r="AS109"/>
    </row>
    <row r="110" spans="31:45" x14ac:dyDescent="0.3">
      <c r="AE110" s="16">
        <v>2029</v>
      </c>
      <c r="AF110" s="17">
        <v>8</v>
      </c>
      <c r="AG110" s="99">
        <f t="array" ref="AG110">MIN(IF('Diário de Operações'!$O$4:$O$9938=AF110,IF('Diário de Operações'!$P$4:$P$9938=Dinâmicas!AE110,'Diário de Operações'!$B$4:$B$9938)))</f>
        <v>0</v>
      </c>
      <c r="AH110" s="99">
        <f t="array" ref="AH110">MAX(IF('Diário de Operações'!$O$4:$O$9938=AF110,IF('Diário de Operações'!$P$4:$P$9938=Dinâmicas!AE110,'Diário de Operações'!$B$4:$B$9938)))</f>
        <v>0</v>
      </c>
      <c r="AI110" s="142" t="e">
        <f>VLOOKUP(AG110,'Diário de Operações'!B:T,18,0)</f>
        <v>#N/A</v>
      </c>
      <c r="AJ110" s="143">
        <f t="array" ref="AJ110">SUM(IF('Diário de Operações'!$O$4:$O$9938=Dinâmicas!AF110,IF('Diário de Operações'!$P$4:$P$9938=Dinâmicas!AE110,IF('Diário de Operações'!$U$4:$U$9938&gt;0,'Diário de Operações'!$U$4:$U$9938,"0"))))</f>
        <v>0</v>
      </c>
      <c r="AK110" s="143">
        <f t="array" ref="AK110">SUM(IF('Diário de Operações'!$O$4:$O$9938=Dinâmicas!AF110,IF('Diário de Operações'!$P$4:$P$9938=Dinâmicas!AE110,IF('Diário de Operações'!$U$4:$U$9938&lt;0,'Diário de Operações'!$U$4:$U$9938,"0"))))</f>
        <v>0</v>
      </c>
      <c r="AL110" s="142" t="e">
        <f>VLOOKUP(AH110,'Diário de Operações'!B:T,19,0)</f>
        <v>#N/A</v>
      </c>
      <c r="AM110" s="142" t="e">
        <f t="shared" si="8"/>
        <v>#N/A</v>
      </c>
      <c r="AN110" s="18" t="e">
        <f t="shared" si="7"/>
        <v>#N/A</v>
      </c>
      <c r="AO110" s="143">
        <f t="array" ref="AO110">MIN(IF('Diário de Operações'!$O$4:$O$9938=AF110,IF('Diário de Operações'!$P$4:$P$9938=Dinâmicas!AE110,'Diário de Operações'!$X$4:$X$9938)))</f>
        <v>0</v>
      </c>
      <c r="AP110" s="19" t="e">
        <f t="shared" si="6"/>
        <v>#N/A</v>
      </c>
      <c r="AS110"/>
    </row>
    <row r="111" spans="31:45" x14ac:dyDescent="0.3">
      <c r="AE111" s="16">
        <v>2029</v>
      </c>
      <c r="AF111" s="17">
        <v>9</v>
      </c>
      <c r="AG111" s="99">
        <f t="array" ref="AG111">MIN(IF('Diário de Operações'!$O$4:$O$9938=AF111,IF('Diário de Operações'!$P$4:$P$9938=Dinâmicas!AE111,'Diário de Operações'!$B$4:$B$9938)))</f>
        <v>0</v>
      </c>
      <c r="AH111" s="99">
        <f t="array" ref="AH111">MAX(IF('Diário de Operações'!$O$4:$O$9938=AF111,IF('Diário de Operações'!$P$4:$P$9938=Dinâmicas!AE111,'Diário de Operações'!$B$4:$B$9938)))</f>
        <v>0</v>
      </c>
      <c r="AI111" s="142" t="e">
        <f>VLOOKUP(AG111,'Diário de Operações'!B:T,18,0)</f>
        <v>#N/A</v>
      </c>
      <c r="AJ111" s="143">
        <f t="array" ref="AJ111">SUM(IF('Diário de Operações'!$O$4:$O$9938=Dinâmicas!AF111,IF('Diário de Operações'!$P$4:$P$9938=Dinâmicas!AE111,IF('Diário de Operações'!$U$4:$U$9938&gt;0,'Diário de Operações'!$U$4:$U$9938,"0"))))</f>
        <v>0</v>
      </c>
      <c r="AK111" s="143">
        <f t="array" ref="AK111">SUM(IF('Diário de Operações'!$O$4:$O$9938=Dinâmicas!AF111,IF('Diário de Operações'!$P$4:$P$9938=Dinâmicas!AE111,IF('Diário de Operações'!$U$4:$U$9938&lt;0,'Diário de Operações'!$U$4:$U$9938,"0"))))</f>
        <v>0</v>
      </c>
      <c r="AL111" s="142" t="e">
        <f>VLOOKUP(AH111,'Diário de Operações'!B:T,19,0)</f>
        <v>#N/A</v>
      </c>
      <c r="AM111" s="142" t="e">
        <f t="shared" si="8"/>
        <v>#N/A</v>
      </c>
      <c r="AN111" s="18" t="e">
        <f t="shared" si="7"/>
        <v>#N/A</v>
      </c>
      <c r="AO111" s="143">
        <f t="array" ref="AO111">MIN(IF('Diário de Operações'!$O$4:$O$9938=AF111,IF('Diário de Operações'!$P$4:$P$9938=Dinâmicas!AE111,'Diário de Operações'!$X$4:$X$9938)))</f>
        <v>0</v>
      </c>
      <c r="AP111" s="19" t="e">
        <f t="shared" si="6"/>
        <v>#N/A</v>
      </c>
      <c r="AS111"/>
    </row>
    <row r="112" spans="31:45" x14ac:dyDescent="0.3">
      <c r="AE112" s="16">
        <v>2029</v>
      </c>
      <c r="AF112" s="17">
        <v>10</v>
      </c>
      <c r="AG112" s="99">
        <f t="array" ref="AG112">MIN(IF('Diário de Operações'!$O$4:$O$9938=AF112,IF('Diário de Operações'!$P$4:$P$9938=Dinâmicas!AE112,'Diário de Operações'!$B$4:$B$9938)))</f>
        <v>0</v>
      </c>
      <c r="AH112" s="99">
        <f t="array" ref="AH112">MAX(IF('Diário de Operações'!$O$4:$O$9938=AF112,IF('Diário de Operações'!$P$4:$P$9938=Dinâmicas!AE112,'Diário de Operações'!$B$4:$B$9938)))</f>
        <v>0</v>
      </c>
      <c r="AI112" s="142" t="e">
        <f>VLOOKUP(AG112,'Diário de Operações'!B:T,18,0)</f>
        <v>#N/A</v>
      </c>
      <c r="AJ112" s="143">
        <f t="array" ref="AJ112">SUM(IF('Diário de Operações'!$O$4:$O$9938=Dinâmicas!AF112,IF('Diário de Operações'!$P$4:$P$9938=Dinâmicas!AE112,IF('Diário de Operações'!$U$4:$U$9938&gt;0,'Diário de Operações'!$U$4:$U$9938,"0"))))</f>
        <v>0</v>
      </c>
      <c r="AK112" s="143">
        <f t="array" ref="AK112">SUM(IF('Diário de Operações'!$O$4:$O$9938=Dinâmicas!AF112,IF('Diário de Operações'!$P$4:$P$9938=Dinâmicas!AE112,IF('Diário de Operações'!$U$4:$U$9938&lt;0,'Diário de Operações'!$U$4:$U$9938,"0"))))</f>
        <v>0</v>
      </c>
      <c r="AL112" s="142" t="e">
        <f>VLOOKUP(AH112,'Diário de Operações'!B:T,19,0)</f>
        <v>#N/A</v>
      </c>
      <c r="AM112" s="142" t="e">
        <f t="shared" si="8"/>
        <v>#N/A</v>
      </c>
      <c r="AN112" s="18" t="e">
        <f t="shared" si="7"/>
        <v>#N/A</v>
      </c>
      <c r="AO112" s="143">
        <f t="array" ref="AO112">MIN(IF('Diário de Operações'!$O$4:$O$9938=AF112,IF('Diário de Operações'!$P$4:$P$9938=Dinâmicas!AE112,'Diário de Operações'!$X$4:$X$9938)))</f>
        <v>0</v>
      </c>
      <c r="AP112" s="19" t="e">
        <f t="shared" si="6"/>
        <v>#N/A</v>
      </c>
      <c r="AS112"/>
    </row>
    <row r="113" spans="31:45" x14ac:dyDescent="0.3">
      <c r="AE113" s="16">
        <v>2029</v>
      </c>
      <c r="AF113" s="17">
        <v>11</v>
      </c>
      <c r="AG113" s="99">
        <f t="array" ref="AG113">MIN(IF('Diário de Operações'!$O$4:$O$9938=AF113,IF('Diário de Operações'!$P$4:$P$9938=Dinâmicas!AE113,'Diário de Operações'!$B$4:$B$9938)))</f>
        <v>0</v>
      </c>
      <c r="AH113" s="99">
        <f t="array" ref="AH113">MAX(IF('Diário de Operações'!$O$4:$O$9938=AF113,IF('Diário de Operações'!$P$4:$P$9938=Dinâmicas!AE113,'Diário de Operações'!$B$4:$B$9938)))</f>
        <v>0</v>
      </c>
      <c r="AI113" s="142" t="e">
        <f>VLOOKUP(AG113,'Diário de Operações'!B:T,18,0)</f>
        <v>#N/A</v>
      </c>
      <c r="AJ113" s="143">
        <f t="array" ref="AJ113">SUM(IF('Diário de Operações'!$O$4:$O$9938=Dinâmicas!AF113,IF('Diário de Operações'!$P$4:$P$9938=Dinâmicas!AE113,IF('Diário de Operações'!$U$4:$U$9938&gt;0,'Diário de Operações'!$U$4:$U$9938,"0"))))</f>
        <v>0</v>
      </c>
      <c r="AK113" s="143">
        <f t="array" ref="AK113">SUM(IF('Diário de Operações'!$O$4:$O$9938=Dinâmicas!AF113,IF('Diário de Operações'!$P$4:$P$9938=Dinâmicas!AE113,IF('Diário de Operações'!$U$4:$U$9938&lt;0,'Diário de Operações'!$U$4:$U$9938,"0"))))</f>
        <v>0</v>
      </c>
      <c r="AL113" s="142" t="e">
        <f>VLOOKUP(AH113,'Diário de Operações'!B:T,19,0)</f>
        <v>#N/A</v>
      </c>
      <c r="AM113" s="142" t="e">
        <f t="shared" si="8"/>
        <v>#N/A</v>
      </c>
      <c r="AN113" s="18" t="e">
        <f t="shared" si="7"/>
        <v>#N/A</v>
      </c>
      <c r="AO113" s="143">
        <f t="array" ref="AO113">MIN(IF('Diário de Operações'!$O$4:$O$9938=AF113,IF('Diário de Operações'!$P$4:$P$9938=Dinâmicas!AE113,'Diário de Operações'!$X$4:$X$9938)))</f>
        <v>0</v>
      </c>
      <c r="AP113" s="19" t="e">
        <f t="shared" si="6"/>
        <v>#N/A</v>
      </c>
      <c r="AS113"/>
    </row>
    <row r="114" spans="31:45" x14ac:dyDescent="0.3">
      <c r="AE114" s="16">
        <v>2029</v>
      </c>
      <c r="AF114" s="17">
        <v>12</v>
      </c>
      <c r="AG114" s="99">
        <f t="array" ref="AG114">MIN(IF('Diário de Operações'!$O$4:$O$9938=AF114,IF('Diário de Operações'!$P$4:$P$9938=Dinâmicas!AE114,'Diário de Operações'!$B$4:$B$9938)))</f>
        <v>0</v>
      </c>
      <c r="AH114" s="99">
        <f t="array" ref="AH114">MAX(IF('Diário de Operações'!$O$4:$O$9938=AF114,IF('Diário de Operações'!$P$4:$P$9938=Dinâmicas!AE114,'Diário de Operações'!$B$4:$B$9938)))</f>
        <v>0</v>
      </c>
      <c r="AI114" s="142" t="e">
        <f>VLOOKUP(AG114,'Diário de Operações'!B:T,18,0)</f>
        <v>#N/A</v>
      </c>
      <c r="AJ114" s="143">
        <f t="array" ref="AJ114">SUM(IF('Diário de Operações'!$O$4:$O$9938=Dinâmicas!AF114,IF('Diário de Operações'!$P$4:$P$9938=Dinâmicas!AE114,IF('Diário de Operações'!$U$4:$U$9938&gt;0,'Diário de Operações'!$U$4:$U$9938,"0"))))</f>
        <v>0</v>
      </c>
      <c r="AK114" s="143">
        <f t="array" ref="AK114">SUM(IF('Diário de Operações'!$O$4:$O$9938=Dinâmicas!AF114,IF('Diário de Operações'!$P$4:$P$9938=Dinâmicas!AE114,IF('Diário de Operações'!$U$4:$U$9938&lt;0,'Diário de Operações'!$U$4:$U$9938,"0"))))</f>
        <v>0</v>
      </c>
      <c r="AL114" s="142" t="e">
        <f>VLOOKUP(AH114,'Diário de Operações'!B:T,19,0)</f>
        <v>#N/A</v>
      </c>
      <c r="AM114" s="142" t="e">
        <f t="shared" si="8"/>
        <v>#N/A</v>
      </c>
      <c r="AN114" s="18" t="e">
        <f t="shared" si="7"/>
        <v>#N/A</v>
      </c>
      <c r="AO114" s="143">
        <f t="array" ref="AO114">MIN(IF('Diário de Operações'!$O$4:$O$9938=AF114,IF('Diário de Operações'!$P$4:$P$9938=Dinâmicas!AE114,'Diário de Operações'!$X$4:$X$9938)))</f>
        <v>0</v>
      </c>
      <c r="AP114" s="19" t="e">
        <f t="shared" si="6"/>
        <v>#N/A</v>
      </c>
      <c r="AS114"/>
    </row>
    <row r="115" spans="31:45" x14ac:dyDescent="0.3">
      <c r="AE115" s="16">
        <v>2030</v>
      </c>
      <c r="AF115" s="17">
        <v>1</v>
      </c>
      <c r="AG115" s="99">
        <f t="array" ref="AG115">MIN(IF('Diário de Operações'!$O$4:$O$9938=AF115,IF('Diário de Operações'!$P$4:$P$9938=Dinâmicas!AE115,'Diário de Operações'!$B$4:$B$9938)))</f>
        <v>0</v>
      </c>
      <c r="AH115" s="99">
        <f t="array" ref="AH115">MAX(IF('Diário de Operações'!$O$4:$O$9938=AF115,IF('Diário de Operações'!$P$4:$P$9938=Dinâmicas!AE115,'Diário de Operações'!$B$4:$B$9938)))</f>
        <v>0</v>
      </c>
      <c r="AI115" s="142" t="e">
        <f>VLOOKUP(AG115,'Diário de Operações'!B:T,18,0)</f>
        <v>#N/A</v>
      </c>
      <c r="AJ115" s="143">
        <f t="array" ref="AJ115">SUM(IF('Diário de Operações'!$O$4:$O$9938=Dinâmicas!AF115,IF('Diário de Operações'!$P$4:$P$9938=Dinâmicas!AE115,IF('Diário de Operações'!$U$4:$U$9938&gt;0,'Diário de Operações'!$U$4:$U$9938,"0"))))</f>
        <v>0</v>
      </c>
      <c r="AK115" s="143">
        <f t="array" ref="AK115">SUM(IF('Diário de Operações'!$O$4:$O$9938=Dinâmicas!AF115,IF('Diário de Operações'!$P$4:$P$9938=Dinâmicas!AE115,IF('Diário de Operações'!$U$4:$U$9938&lt;0,'Diário de Operações'!$U$4:$U$9938,"0"))))</f>
        <v>0</v>
      </c>
      <c r="AL115" s="142" t="e">
        <f>VLOOKUP(AH115,'Diário de Operações'!B:T,19,0)</f>
        <v>#N/A</v>
      </c>
      <c r="AM115" s="142" t="e">
        <f t="shared" si="8"/>
        <v>#N/A</v>
      </c>
      <c r="AN115" s="18" t="e">
        <f t="shared" si="7"/>
        <v>#N/A</v>
      </c>
      <c r="AO115" s="143">
        <f t="array" ref="AO115">MIN(IF('Diário de Operações'!$O$4:$O$9938=AF115,IF('Diário de Operações'!$P$4:$P$9938=Dinâmicas!AE115,'Diário de Operações'!$X$4:$X$9938)))</f>
        <v>0</v>
      </c>
      <c r="AP115" s="19" t="e">
        <f t="shared" si="6"/>
        <v>#N/A</v>
      </c>
      <c r="AS115"/>
    </row>
    <row r="116" spans="31:45" x14ac:dyDescent="0.3">
      <c r="AE116" s="16">
        <v>2030</v>
      </c>
      <c r="AF116" s="17">
        <v>2</v>
      </c>
      <c r="AG116" s="99">
        <f t="array" ref="AG116">MIN(IF('Diário de Operações'!$O$4:$O$9938=AF116,IF('Diário de Operações'!$P$4:$P$9938=Dinâmicas!AE116,'Diário de Operações'!$B$4:$B$9938)))</f>
        <v>0</v>
      </c>
      <c r="AH116" s="99">
        <f t="array" ref="AH116">MAX(IF('Diário de Operações'!$O$4:$O$9938=AF116,IF('Diário de Operações'!$P$4:$P$9938=Dinâmicas!AE116,'Diário de Operações'!$B$4:$B$9938)))</f>
        <v>0</v>
      </c>
      <c r="AI116" s="142" t="e">
        <f>VLOOKUP(AG116,'Diário de Operações'!B:T,18,0)</f>
        <v>#N/A</v>
      </c>
      <c r="AJ116" s="143">
        <f t="array" ref="AJ116">SUM(IF('Diário de Operações'!$O$4:$O$9938=Dinâmicas!AF116,IF('Diário de Operações'!$P$4:$P$9938=Dinâmicas!AE116,IF('Diário de Operações'!$U$4:$U$9938&gt;0,'Diário de Operações'!$U$4:$U$9938,"0"))))</f>
        <v>0</v>
      </c>
      <c r="AK116" s="143">
        <f t="array" ref="AK116">SUM(IF('Diário de Operações'!$O$4:$O$9938=Dinâmicas!AF116,IF('Diário de Operações'!$P$4:$P$9938=Dinâmicas!AE116,IF('Diário de Operações'!$U$4:$U$9938&lt;0,'Diário de Operações'!$U$4:$U$9938,"0"))))</f>
        <v>0</v>
      </c>
      <c r="AL116" s="142" t="e">
        <f>VLOOKUP(AH116,'Diário de Operações'!B:T,19,0)</f>
        <v>#N/A</v>
      </c>
      <c r="AM116" s="142" t="e">
        <f t="shared" si="8"/>
        <v>#N/A</v>
      </c>
      <c r="AN116" s="18" t="e">
        <f t="shared" si="7"/>
        <v>#N/A</v>
      </c>
      <c r="AO116" s="143">
        <f t="array" ref="AO116">MIN(IF('Diário de Operações'!$O$4:$O$9938=AF116,IF('Diário de Operações'!$P$4:$P$9938=Dinâmicas!AE116,'Diário de Operações'!$X$4:$X$9938)))</f>
        <v>0</v>
      </c>
      <c r="AP116" s="19" t="e">
        <f t="shared" si="6"/>
        <v>#N/A</v>
      </c>
      <c r="AS116"/>
    </row>
    <row r="117" spans="31:45" x14ac:dyDescent="0.3">
      <c r="AE117" s="16">
        <v>2030</v>
      </c>
      <c r="AF117" s="17">
        <v>3</v>
      </c>
      <c r="AG117" s="99">
        <f t="array" ref="AG117">MIN(IF('Diário de Operações'!$O$4:$O$9938=AF117,IF('Diário de Operações'!$P$4:$P$9938=Dinâmicas!AE117,'Diário de Operações'!$B$4:$B$9938)))</f>
        <v>0</v>
      </c>
      <c r="AH117" s="99">
        <f t="array" ref="AH117">MAX(IF('Diário de Operações'!$O$4:$O$9938=AF117,IF('Diário de Operações'!$P$4:$P$9938=Dinâmicas!AE117,'Diário de Operações'!$B$4:$B$9938)))</f>
        <v>0</v>
      </c>
      <c r="AI117" s="142" t="e">
        <f>VLOOKUP(AG117,'Diário de Operações'!B:T,18,0)</f>
        <v>#N/A</v>
      </c>
      <c r="AJ117" s="143">
        <f t="array" ref="AJ117">SUM(IF('Diário de Operações'!$O$4:$O$9938=Dinâmicas!AF117,IF('Diário de Operações'!$P$4:$P$9938=Dinâmicas!AE117,IF('Diário de Operações'!$U$4:$U$9938&gt;0,'Diário de Operações'!$U$4:$U$9938,"0"))))</f>
        <v>0</v>
      </c>
      <c r="AK117" s="143">
        <f t="array" ref="AK117">SUM(IF('Diário de Operações'!$O$4:$O$9938=Dinâmicas!AF117,IF('Diário de Operações'!$P$4:$P$9938=Dinâmicas!AE117,IF('Diário de Operações'!$U$4:$U$9938&lt;0,'Diário de Operações'!$U$4:$U$9938,"0"))))</f>
        <v>0</v>
      </c>
      <c r="AL117" s="142" t="e">
        <f>VLOOKUP(AH117,'Diário de Operações'!B:T,19,0)</f>
        <v>#N/A</v>
      </c>
      <c r="AM117" s="142" t="e">
        <f t="shared" si="8"/>
        <v>#N/A</v>
      </c>
      <c r="AN117" s="18" t="e">
        <f t="shared" si="7"/>
        <v>#N/A</v>
      </c>
      <c r="AO117" s="143">
        <f t="array" ref="AO117">MIN(IF('Diário de Operações'!$O$4:$O$9938=AF117,IF('Diário de Operações'!$P$4:$P$9938=Dinâmicas!AE117,'Diário de Operações'!$X$4:$X$9938)))</f>
        <v>0</v>
      </c>
      <c r="AP117" s="19" t="e">
        <f t="shared" si="6"/>
        <v>#N/A</v>
      </c>
      <c r="AS117"/>
    </row>
    <row r="118" spans="31:45" x14ac:dyDescent="0.3">
      <c r="AE118" s="16">
        <v>2030</v>
      </c>
      <c r="AF118" s="17">
        <v>4</v>
      </c>
      <c r="AG118" s="99">
        <f t="array" ref="AG118">MIN(IF('Diário de Operações'!$O$4:$O$9938=AF118,IF('Diário de Operações'!$P$4:$P$9938=Dinâmicas!AE118,'Diário de Operações'!$B$4:$B$9938)))</f>
        <v>0</v>
      </c>
      <c r="AH118" s="99">
        <f t="array" ref="AH118">MAX(IF('Diário de Operações'!$O$4:$O$9938=AF118,IF('Diário de Operações'!$P$4:$P$9938=Dinâmicas!AE118,'Diário de Operações'!$B$4:$B$9938)))</f>
        <v>0</v>
      </c>
      <c r="AI118" s="142" t="e">
        <f>VLOOKUP(AG118,'Diário de Operações'!B:T,18,0)</f>
        <v>#N/A</v>
      </c>
      <c r="AJ118" s="143">
        <f t="array" ref="AJ118">SUM(IF('Diário de Operações'!$O$4:$O$9938=Dinâmicas!AF118,IF('Diário de Operações'!$P$4:$P$9938=Dinâmicas!AE118,IF('Diário de Operações'!$U$4:$U$9938&gt;0,'Diário de Operações'!$U$4:$U$9938,"0"))))</f>
        <v>0</v>
      </c>
      <c r="AK118" s="143">
        <f t="array" ref="AK118">SUM(IF('Diário de Operações'!$O$4:$O$9938=Dinâmicas!AF118,IF('Diário de Operações'!$P$4:$P$9938=Dinâmicas!AE118,IF('Diário de Operações'!$U$4:$U$9938&lt;0,'Diário de Operações'!$U$4:$U$9938,"0"))))</f>
        <v>0</v>
      </c>
      <c r="AL118" s="142" t="e">
        <f>VLOOKUP(AH118,'Diário de Operações'!B:T,19,0)</f>
        <v>#N/A</v>
      </c>
      <c r="AM118" s="142" t="e">
        <f t="shared" si="8"/>
        <v>#N/A</v>
      </c>
      <c r="AN118" s="18" t="e">
        <f t="shared" si="7"/>
        <v>#N/A</v>
      </c>
      <c r="AO118" s="143">
        <f t="array" ref="AO118">MIN(IF('Diário de Operações'!$O$4:$O$9938=AF118,IF('Diário de Operações'!$P$4:$P$9938=Dinâmicas!AE118,'Diário de Operações'!$X$4:$X$9938)))</f>
        <v>0</v>
      </c>
      <c r="AP118" s="19" t="e">
        <f t="shared" si="6"/>
        <v>#N/A</v>
      </c>
      <c r="AS118"/>
    </row>
    <row r="119" spans="31:45" x14ac:dyDescent="0.3">
      <c r="AE119" s="16">
        <v>2030</v>
      </c>
      <c r="AF119" s="17">
        <v>5</v>
      </c>
      <c r="AG119" s="99">
        <f t="array" ref="AG119">MIN(IF('Diário de Operações'!$O$4:$O$9938=AF119,IF('Diário de Operações'!$P$4:$P$9938=Dinâmicas!AE119,'Diário de Operações'!$B$4:$B$9938)))</f>
        <v>0</v>
      </c>
      <c r="AH119" s="99">
        <f t="array" ref="AH119">MAX(IF('Diário de Operações'!$O$4:$O$9938=AF119,IF('Diário de Operações'!$P$4:$P$9938=Dinâmicas!AE119,'Diário de Operações'!$B$4:$B$9938)))</f>
        <v>0</v>
      </c>
      <c r="AI119" s="142" t="e">
        <f>VLOOKUP(AG119,'Diário de Operações'!B:T,18,0)</f>
        <v>#N/A</v>
      </c>
      <c r="AJ119" s="143">
        <f t="array" ref="AJ119">SUM(IF('Diário de Operações'!$O$4:$O$9938=Dinâmicas!AF119,IF('Diário de Operações'!$P$4:$P$9938=Dinâmicas!AE119,IF('Diário de Operações'!$U$4:$U$9938&gt;0,'Diário de Operações'!$U$4:$U$9938,"0"))))</f>
        <v>0</v>
      </c>
      <c r="AK119" s="143">
        <f t="array" ref="AK119">SUM(IF('Diário de Operações'!$O$4:$O$9938=Dinâmicas!AF119,IF('Diário de Operações'!$P$4:$P$9938=Dinâmicas!AE119,IF('Diário de Operações'!$U$4:$U$9938&lt;0,'Diário de Operações'!$U$4:$U$9938,"0"))))</f>
        <v>0</v>
      </c>
      <c r="AL119" s="142" t="e">
        <f>VLOOKUP(AH119,'Diário de Operações'!B:T,19,0)</f>
        <v>#N/A</v>
      </c>
      <c r="AM119" s="142" t="e">
        <f t="shared" si="8"/>
        <v>#N/A</v>
      </c>
      <c r="AN119" s="18" t="e">
        <f t="shared" si="7"/>
        <v>#N/A</v>
      </c>
      <c r="AO119" s="143">
        <f t="array" ref="AO119">MIN(IF('Diário de Operações'!$O$4:$O$9938=AF119,IF('Diário de Operações'!$P$4:$P$9938=Dinâmicas!AE119,'Diário de Operações'!$X$4:$X$9938)))</f>
        <v>0</v>
      </c>
      <c r="AP119" s="19" t="e">
        <f t="shared" si="6"/>
        <v>#N/A</v>
      </c>
      <c r="AS119"/>
    </row>
    <row r="120" spans="31:45" x14ac:dyDescent="0.3">
      <c r="AE120" s="16">
        <v>2030</v>
      </c>
      <c r="AF120" s="17">
        <v>6</v>
      </c>
      <c r="AG120" s="99">
        <f t="array" ref="AG120">MIN(IF('Diário de Operações'!$O$4:$O$9938=AF120,IF('Diário de Operações'!$P$4:$P$9938=Dinâmicas!AE120,'Diário de Operações'!$B$4:$B$9938)))</f>
        <v>0</v>
      </c>
      <c r="AH120" s="99">
        <f t="array" ref="AH120">MAX(IF('Diário de Operações'!$O$4:$O$9938=AF120,IF('Diário de Operações'!$P$4:$P$9938=Dinâmicas!AE120,'Diário de Operações'!$B$4:$B$9938)))</f>
        <v>0</v>
      </c>
      <c r="AI120" s="142" t="e">
        <f>VLOOKUP(AG120,'Diário de Operações'!B:T,18,0)</f>
        <v>#N/A</v>
      </c>
      <c r="AJ120" s="143">
        <f t="array" ref="AJ120">SUM(IF('Diário de Operações'!$O$4:$O$9938=Dinâmicas!AF120,IF('Diário de Operações'!$P$4:$P$9938=Dinâmicas!AE120,IF('Diário de Operações'!$U$4:$U$9938&gt;0,'Diário de Operações'!$U$4:$U$9938,"0"))))</f>
        <v>0</v>
      </c>
      <c r="AK120" s="143">
        <f t="array" ref="AK120">SUM(IF('Diário de Operações'!$O$4:$O$9938=Dinâmicas!AF120,IF('Diário de Operações'!$P$4:$P$9938=Dinâmicas!AE120,IF('Diário de Operações'!$U$4:$U$9938&lt;0,'Diário de Operações'!$U$4:$U$9938,"0"))))</f>
        <v>0</v>
      </c>
      <c r="AL120" s="142" t="e">
        <f>VLOOKUP(AH120,'Diário de Operações'!B:T,19,0)</f>
        <v>#N/A</v>
      </c>
      <c r="AM120" s="142" t="e">
        <f t="shared" si="8"/>
        <v>#N/A</v>
      </c>
      <c r="AN120" s="18" t="e">
        <f t="shared" si="7"/>
        <v>#N/A</v>
      </c>
      <c r="AO120" s="143">
        <f t="array" ref="AO120">MIN(IF('Diário de Operações'!$O$4:$O$9938=AF120,IF('Diário de Operações'!$P$4:$P$9938=Dinâmicas!AE120,'Diário de Operações'!$X$4:$X$9938)))</f>
        <v>0</v>
      </c>
      <c r="AP120" s="19" t="e">
        <f t="shared" si="6"/>
        <v>#N/A</v>
      </c>
      <c r="AS120"/>
    </row>
    <row r="121" spans="31:45" x14ac:dyDescent="0.3">
      <c r="AE121" s="16">
        <v>2030</v>
      </c>
      <c r="AF121" s="17">
        <v>7</v>
      </c>
      <c r="AG121" s="99">
        <f t="array" ref="AG121">MIN(IF('Diário de Operações'!$O$4:$O$9938=AF121,IF('Diário de Operações'!$P$4:$P$9938=Dinâmicas!AE121,'Diário de Operações'!$B$4:$B$9938)))</f>
        <v>0</v>
      </c>
      <c r="AH121" s="99">
        <f t="array" ref="AH121">MAX(IF('Diário de Operações'!$O$4:$O$9938=AF121,IF('Diário de Operações'!$P$4:$P$9938=Dinâmicas!AE121,'Diário de Operações'!$B$4:$B$9938)))</f>
        <v>0</v>
      </c>
      <c r="AI121" s="142" t="e">
        <f>VLOOKUP(AG121,'Diário de Operações'!B:T,18,0)</f>
        <v>#N/A</v>
      </c>
      <c r="AJ121" s="143">
        <f t="array" ref="AJ121">SUM(IF('Diário de Operações'!$O$4:$O$9938=Dinâmicas!AF121,IF('Diário de Operações'!$P$4:$P$9938=Dinâmicas!AE121,IF('Diário de Operações'!$U$4:$U$9938&gt;0,'Diário de Operações'!$U$4:$U$9938,"0"))))</f>
        <v>0</v>
      </c>
      <c r="AK121" s="143">
        <f t="array" ref="AK121">SUM(IF('Diário de Operações'!$O$4:$O$9938=Dinâmicas!AF121,IF('Diário de Operações'!$P$4:$P$9938=Dinâmicas!AE121,IF('Diário de Operações'!$U$4:$U$9938&lt;0,'Diário de Operações'!$U$4:$U$9938,"0"))))</f>
        <v>0</v>
      </c>
      <c r="AL121" s="142" t="e">
        <f>VLOOKUP(AH121,'Diário de Operações'!B:T,19,0)</f>
        <v>#N/A</v>
      </c>
      <c r="AM121" s="142" t="e">
        <f t="shared" si="8"/>
        <v>#N/A</v>
      </c>
      <c r="AN121" s="18" t="e">
        <f t="shared" si="7"/>
        <v>#N/A</v>
      </c>
      <c r="AO121" s="143">
        <f t="array" ref="AO121">MIN(IF('Diário de Operações'!$O$4:$O$9938=AF121,IF('Diário de Operações'!$P$4:$P$9938=Dinâmicas!AE121,'Diário de Operações'!$X$4:$X$9938)))</f>
        <v>0</v>
      </c>
      <c r="AP121" s="19" t="e">
        <f t="shared" si="6"/>
        <v>#N/A</v>
      </c>
      <c r="AS121"/>
    </row>
    <row r="122" spans="31:45" x14ac:dyDescent="0.3">
      <c r="AE122" s="16">
        <v>2030</v>
      </c>
      <c r="AF122" s="17">
        <v>8</v>
      </c>
      <c r="AG122" s="99">
        <f t="array" ref="AG122">MIN(IF('Diário de Operações'!$O$4:$O$9938=AF122,IF('Diário de Operações'!$P$4:$P$9938=Dinâmicas!AE122,'Diário de Operações'!$B$4:$B$9938)))</f>
        <v>0</v>
      </c>
      <c r="AH122" s="99">
        <f t="array" ref="AH122">MAX(IF('Diário de Operações'!$O$4:$O$9938=AF122,IF('Diário de Operações'!$P$4:$P$9938=Dinâmicas!AE122,'Diário de Operações'!$B$4:$B$9938)))</f>
        <v>0</v>
      </c>
      <c r="AI122" s="142" t="e">
        <f>VLOOKUP(AG122,'Diário de Operações'!B:T,18,0)</f>
        <v>#N/A</v>
      </c>
      <c r="AJ122" s="143">
        <f t="array" ref="AJ122">SUM(IF('Diário de Operações'!$O$4:$O$9938=Dinâmicas!AF122,IF('Diário de Operações'!$P$4:$P$9938=Dinâmicas!AE122,IF('Diário de Operações'!$U$4:$U$9938&gt;0,'Diário de Operações'!$U$4:$U$9938,"0"))))</f>
        <v>0</v>
      </c>
      <c r="AK122" s="143">
        <f t="array" ref="AK122">SUM(IF('Diário de Operações'!$O$4:$O$9938=Dinâmicas!AF122,IF('Diário de Operações'!$P$4:$P$9938=Dinâmicas!AE122,IF('Diário de Operações'!$U$4:$U$9938&lt;0,'Diário de Operações'!$U$4:$U$9938,"0"))))</f>
        <v>0</v>
      </c>
      <c r="AL122" s="142" t="e">
        <f>VLOOKUP(AH122,'Diário de Operações'!B:T,19,0)</f>
        <v>#N/A</v>
      </c>
      <c r="AM122" s="142" t="e">
        <f t="shared" si="8"/>
        <v>#N/A</v>
      </c>
      <c r="AN122" s="18" t="e">
        <f t="shared" si="7"/>
        <v>#N/A</v>
      </c>
      <c r="AO122" s="143">
        <f t="array" ref="AO122">MIN(IF('Diário de Operações'!$O$4:$O$9938=AF122,IF('Diário de Operações'!$P$4:$P$9938=Dinâmicas!AE122,'Diário de Operações'!$X$4:$X$9938)))</f>
        <v>0</v>
      </c>
      <c r="AP122" s="19" t="e">
        <f t="shared" si="6"/>
        <v>#N/A</v>
      </c>
      <c r="AS122"/>
    </row>
    <row r="123" spans="31:45" x14ac:dyDescent="0.3">
      <c r="AE123" s="16">
        <v>2030</v>
      </c>
      <c r="AF123" s="17">
        <v>9</v>
      </c>
      <c r="AG123" s="99">
        <f t="array" ref="AG123">MIN(IF('Diário de Operações'!$O$4:$O$9938=AF123,IF('Diário de Operações'!$P$4:$P$9938=Dinâmicas!AE123,'Diário de Operações'!$B$4:$B$9938)))</f>
        <v>0</v>
      </c>
      <c r="AH123" s="99">
        <f t="array" ref="AH123">MAX(IF('Diário de Operações'!$O$4:$O$9938=AF123,IF('Diário de Operações'!$P$4:$P$9938=Dinâmicas!AE123,'Diário de Operações'!$B$4:$B$9938)))</f>
        <v>0</v>
      </c>
      <c r="AI123" s="142" t="e">
        <f>VLOOKUP(AG123,'Diário de Operações'!B:T,18,0)</f>
        <v>#N/A</v>
      </c>
      <c r="AJ123" s="143">
        <f t="array" ref="AJ123">SUM(IF('Diário de Operações'!$O$4:$O$9938=Dinâmicas!AF123,IF('Diário de Operações'!$P$4:$P$9938=Dinâmicas!AE123,IF('Diário de Operações'!$U$4:$U$9938&gt;0,'Diário de Operações'!$U$4:$U$9938,"0"))))</f>
        <v>0</v>
      </c>
      <c r="AK123" s="143">
        <f t="array" ref="AK123">SUM(IF('Diário de Operações'!$O$4:$O$9938=Dinâmicas!AF123,IF('Diário de Operações'!$P$4:$P$9938=Dinâmicas!AE123,IF('Diário de Operações'!$U$4:$U$9938&lt;0,'Diário de Operações'!$U$4:$U$9938,"0"))))</f>
        <v>0</v>
      </c>
      <c r="AL123" s="142" t="e">
        <f>VLOOKUP(AH123,'Diário de Operações'!B:T,19,0)</f>
        <v>#N/A</v>
      </c>
      <c r="AM123" s="142" t="e">
        <f t="shared" si="8"/>
        <v>#N/A</v>
      </c>
      <c r="AN123" s="18" t="e">
        <f t="shared" si="7"/>
        <v>#N/A</v>
      </c>
      <c r="AO123" s="143">
        <f t="array" ref="AO123">MIN(IF('Diário de Operações'!$O$4:$O$9938=AF123,IF('Diário de Operações'!$P$4:$P$9938=Dinâmicas!AE123,'Diário de Operações'!$X$4:$X$9938)))</f>
        <v>0</v>
      </c>
      <c r="AP123" s="19" t="e">
        <f t="shared" si="6"/>
        <v>#N/A</v>
      </c>
      <c r="AS123"/>
    </row>
    <row r="124" spans="31:45" x14ac:dyDescent="0.3">
      <c r="AE124" s="16">
        <v>2030</v>
      </c>
      <c r="AF124" s="17">
        <v>10</v>
      </c>
      <c r="AG124" s="99">
        <f t="array" ref="AG124">MIN(IF('Diário de Operações'!$O$4:$O$9938=AF124,IF('Diário de Operações'!$P$4:$P$9938=Dinâmicas!AE124,'Diário de Operações'!$B$4:$B$9938)))</f>
        <v>0</v>
      </c>
      <c r="AH124" s="99">
        <f t="array" ref="AH124">MAX(IF('Diário de Operações'!$O$4:$O$9938=AF124,IF('Diário de Operações'!$P$4:$P$9938=Dinâmicas!AE124,'Diário de Operações'!$B$4:$B$9938)))</f>
        <v>0</v>
      </c>
      <c r="AI124" s="142" t="e">
        <f>VLOOKUP(AG124,'Diário de Operações'!B:T,18,0)</f>
        <v>#N/A</v>
      </c>
      <c r="AJ124" s="143">
        <f t="array" ref="AJ124">SUM(IF('Diário de Operações'!$O$4:$O$9938=Dinâmicas!AF124,IF('Diário de Operações'!$P$4:$P$9938=Dinâmicas!AE124,IF('Diário de Operações'!$U$4:$U$9938&gt;0,'Diário de Operações'!$U$4:$U$9938,"0"))))</f>
        <v>0</v>
      </c>
      <c r="AK124" s="143">
        <f t="array" ref="AK124">SUM(IF('Diário de Operações'!$O$4:$O$9938=Dinâmicas!AF124,IF('Diário de Operações'!$P$4:$P$9938=Dinâmicas!AE124,IF('Diário de Operações'!$U$4:$U$9938&lt;0,'Diário de Operações'!$U$4:$U$9938,"0"))))</f>
        <v>0</v>
      </c>
      <c r="AL124" s="142" t="e">
        <f>VLOOKUP(AH124,'Diário de Operações'!B:T,19,0)</f>
        <v>#N/A</v>
      </c>
      <c r="AM124" s="142" t="e">
        <f t="shared" si="8"/>
        <v>#N/A</v>
      </c>
      <c r="AN124" s="18" t="e">
        <f t="shared" si="7"/>
        <v>#N/A</v>
      </c>
      <c r="AO124" s="143">
        <f t="array" ref="AO124">MIN(IF('Diário de Operações'!$O$4:$O$9938=AF124,IF('Diário de Operações'!$P$4:$P$9938=Dinâmicas!AE124,'Diário de Operações'!$X$4:$X$9938)))</f>
        <v>0</v>
      </c>
      <c r="AP124" s="19" t="e">
        <f t="shared" si="6"/>
        <v>#N/A</v>
      </c>
      <c r="AS124"/>
    </row>
    <row r="125" spans="31:45" x14ac:dyDescent="0.3">
      <c r="AE125" s="16">
        <v>2030</v>
      </c>
      <c r="AF125" s="17">
        <v>11</v>
      </c>
      <c r="AG125" s="99">
        <f t="array" ref="AG125">MIN(IF('Diário de Operações'!$O$4:$O$9938=AF125,IF('Diário de Operações'!$P$4:$P$9938=Dinâmicas!AE125,'Diário de Operações'!$B$4:$B$9938)))</f>
        <v>0</v>
      </c>
      <c r="AH125" s="99">
        <f t="array" ref="AH125">MAX(IF('Diário de Operações'!$O$4:$O$9938=AF125,IF('Diário de Operações'!$P$4:$P$9938=Dinâmicas!AE125,'Diário de Operações'!$B$4:$B$9938)))</f>
        <v>0</v>
      </c>
      <c r="AI125" s="142" t="e">
        <f>VLOOKUP(AG125,'Diário de Operações'!B:T,18,0)</f>
        <v>#N/A</v>
      </c>
      <c r="AJ125" s="143">
        <f t="array" ref="AJ125">SUM(IF('Diário de Operações'!$O$4:$O$9938=Dinâmicas!AF125,IF('Diário de Operações'!$P$4:$P$9938=Dinâmicas!AE125,IF('Diário de Operações'!$U$4:$U$9938&gt;0,'Diário de Operações'!$U$4:$U$9938,"0"))))</f>
        <v>0</v>
      </c>
      <c r="AK125" s="143">
        <f t="array" ref="AK125">SUM(IF('Diário de Operações'!$O$4:$O$9938=Dinâmicas!AF125,IF('Diário de Operações'!$P$4:$P$9938=Dinâmicas!AE125,IF('Diário de Operações'!$U$4:$U$9938&lt;0,'Diário de Operações'!$U$4:$U$9938,"0"))))</f>
        <v>0</v>
      </c>
      <c r="AL125" s="142" t="e">
        <f>VLOOKUP(AH125,'Diário de Operações'!B:T,19,0)</f>
        <v>#N/A</v>
      </c>
      <c r="AM125" s="142" t="e">
        <f t="shared" si="8"/>
        <v>#N/A</v>
      </c>
      <c r="AN125" s="18" t="e">
        <f t="shared" si="7"/>
        <v>#N/A</v>
      </c>
      <c r="AO125" s="143">
        <f t="array" ref="AO125">MIN(IF('Diário de Operações'!$O$4:$O$9938=AF125,IF('Diário de Operações'!$P$4:$P$9938=Dinâmicas!AE125,'Diário de Operações'!$X$4:$X$9938)))</f>
        <v>0</v>
      </c>
      <c r="AP125" s="19" t="e">
        <f t="shared" si="6"/>
        <v>#N/A</v>
      </c>
      <c r="AS125"/>
    </row>
    <row r="126" spans="31:45" x14ac:dyDescent="0.3">
      <c r="AE126" s="16">
        <v>2030</v>
      </c>
      <c r="AF126" s="17">
        <v>12</v>
      </c>
      <c r="AG126" s="99">
        <f t="array" ref="AG126">MIN(IF('Diário de Operações'!$O$4:$O$9938=AF126,IF('Diário de Operações'!$P$4:$P$9938=Dinâmicas!AE126,'Diário de Operações'!$B$4:$B$9938)))</f>
        <v>0</v>
      </c>
      <c r="AH126" s="99">
        <f t="array" ref="AH126">MAX(IF('Diário de Operações'!$O$4:$O$9938=AF126,IF('Diário de Operações'!$P$4:$P$9938=Dinâmicas!AE126,'Diário de Operações'!$B$4:$B$9938)))</f>
        <v>0</v>
      </c>
      <c r="AI126" s="142" t="e">
        <f>VLOOKUP(AG126,'Diário de Operações'!B:T,18,0)</f>
        <v>#N/A</v>
      </c>
      <c r="AJ126" s="143">
        <f t="array" ref="AJ126">SUM(IF('Diário de Operações'!$O$4:$O$9938=Dinâmicas!AF126,IF('Diário de Operações'!$P$4:$P$9938=Dinâmicas!AE126,IF('Diário de Operações'!$U$4:$U$9938&gt;0,'Diário de Operações'!$U$4:$U$9938,"0"))))</f>
        <v>0</v>
      </c>
      <c r="AK126" s="143">
        <f t="array" ref="AK126">SUM(IF('Diário de Operações'!$O$4:$O$9938=Dinâmicas!AF126,IF('Diário de Operações'!$P$4:$P$9938=Dinâmicas!AE126,IF('Diário de Operações'!$U$4:$U$9938&lt;0,'Diário de Operações'!$U$4:$U$9938,"0"))))</f>
        <v>0</v>
      </c>
      <c r="AL126" s="142" t="e">
        <f>VLOOKUP(AH126,'Diário de Operações'!B:T,19,0)</f>
        <v>#N/A</v>
      </c>
      <c r="AM126" s="142" t="e">
        <f t="shared" si="8"/>
        <v>#N/A</v>
      </c>
      <c r="AN126" s="18" t="e">
        <f t="shared" si="7"/>
        <v>#N/A</v>
      </c>
      <c r="AO126" s="143">
        <f t="array" ref="AO126">MIN(IF('Diário de Operações'!$O$4:$O$9938=AF126,IF('Diário de Operações'!$P$4:$P$9938=Dinâmicas!AE126,'Diário de Operações'!$X$4:$X$9938)))</f>
        <v>0</v>
      </c>
      <c r="AP126" s="19" t="e">
        <f t="shared" si="6"/>
        <v>#N/A</v>
      </c>
      <c r="AS126"/>
    </row>
    <row r="127" spans="31:45" x14ac:dyDescent="0.3">
      <c r="AE127" s="16">
        <v>2031</v>
      </c>
      <c r="AF127" s="17">
        <v>1</v>
      </c>
      <c r="AG127" s="99">
        <f t="array" ref="AG127">MIN(IF('Diário de Operações'!$O$4:$O$9938=AF127,IF('Diário de Operações'!$P$4:$P$9938=Dinâmicas!AE127,'Diário de Operações'!$B$4:$B$9938)))</f>
        <v>0</v>
      </c>
      <c r="AH127" s="99">
        <f t="array" ref="AH127">MAX(IF('Diário de Operações'!$O$4:$O$9938=AF127,IF('Diário de Operações'!$P$4:$P$9938=Dinâmicas!AE127,'Diário de Operações'!$B$4:$B$9938)))</f>
        <v>0</v>
      </c>
      <c r="AI127" s="142" t="e">
        <f>VLOOKUP(AG127,'Diário de Operações'!B:T,18,0)</f>
        <v>#N/A</v>
      </c>
      <c r="AJ127" s="143">
        <f t="array" ref="AJ127">SUM(IF('Diário de Operações'!$O$4:$O$9938=Dinâmicas!AF127,IF('Diário de Operações'!$P$4:$P$9938=Dinâmicas!AE127,IF('Diário de Operações'!$U$4:$U$9938&gt;0,'Diário de Operações'!$U$4:$U$9938,"0"))))</f>
        <v>0</v>
      </c>
      <c r="AK127" s="143">
        <f t="array" ref="AK127">SUM(IF('Diário de Operações'!$O$4:$O$9938=Dinâmicas!AF127,IF('Diário de Operações'!$P$4:$P$9938=Dinâmicas!AE127,IF('Diário de Operações'!$U$4:$U$9938&lt;0,'Diário de Operações'!$U$4:$U$9938,"0"))))</f>
        <v>0</v>
      </c>
      <c r="AL127" s="142" t="e">
        <f>VLOOKUP(AH127,'Diário de Operações'!B:T,19,0)</f>
        <v>#N/A</v>
      </c>
      <c r="AM127" s="142" t="e">
        <f t="shared" si="8"/>
        <v>#N/A</v>
      </c>
      <c r="AN127" s="18" t="e">
        <f t="shared" si="7"/>
        <v>#N/A</v>
      </c>
      <c r="AO127" s="143">
        <f t="array" ref="AO127">MIN(IF('Diário de Operações'!$O$4:$O$9938=AF127,IF('Diário de Operações'!$P$4:$P$9938=Dinâmicas!AE127,'Diário de Operações'!$X$4:$X$9938)))</f>
        <v>0</v>
      </c>
      <c r="AP127" s="19" t="e">
        <f t="shared" si="6"/>
        <v>#N/A</v>
      </c>
      <c r="AS127"/>
    </row>
    <row r="128" spans="31:45" x14ac:dyDescent="0.3">
      <c r="AE128" s="16">
        <v>2031</v>
      </c>
      <c r="AF128" s="17">
        <v>2</v>
      </c>
      <c r="AG128" s="99">
        <f t="array" ref="AG128">MIN(IF('Diário de Operações'!$O$4:$O$9938=AF128,IF('Diário de Operações'!$P$4:$P$9938=Dinâmicas!AE128,'Diário de Operações'!$B$4:$B$9938)))</f>
        <v>0</v>
      </c>
      <c r="AH128" s="99">
        <f t="array" ref="AH128">MAX(IF('Diário de Operações'!$O$4:$O$9938=AF128,IF('Diário de Operações'!$P$4:$P$9938=Dinâmicas!AE128,'Diário de Operações'!$B$4:$B$9938)))</f>
        <v>0</v>
      </c>
      <c r="AI128" s="142" t="e">
        <f>VLOOKUP(AG128,'Diário de Operações'!B:T,18,0)</f>
        <v>#N/A</v>
      </c>
      <c r="AJ128" s="143">
        <f t="array" ref="AJ128">SUM(IF('Diário de Operações'!$O$4:$O$9938=Dinâmicas!AF128,IF('Diário de Operações'!$P$4:$P$9938=Dinâmicas!AE128,IF('Diário de Operações'!$U$4:$U$9938&gt;0,'Diário de Operações'!$U$4:$U$9938,"0"))))</f>
        <v>0</v>
      </c>
      <c r="AK128" s="143">
        <f t="array" ref="AK128">SUM(IF('Diário de Operações'!$O$4:$O$9938=Dinâmicas!AF128,IF('Diário de Operações'!$P$4:$P$9938=Dinâmicas!AE128,IF('Diário de Operações'!$U$4:$U$9938&lt;0,'Diário de Operações'!$U$4:$U$9938,"0"))))</f>
        <v>0</v>
      </c>
      <c r="AL128" s="142" t="e">
        <f>VLOOKUP(AH128,'Diário de Operações'!B:T,19,0)</f>
        <v>#N/A</v>
      </c>
      <c r="AM128" s="142" t="e">
        <f t="shared" si="8"/>
        <v>#N/A</v>
      </c>
      <c r="AN128" s="18" t="e">
        <f t="shared" si="7"/>
        <v>#N/A</v>
      </c>
      <c r="AO128" s="143">
        <f t="array" ref="AO128">MIN(IF('Diário de Operações'!$O$4:$O$9938=AF128,IF('Diário de Operações'!$P$4:$P$9938=Dinâmicas!AE128,'Diário de Operações'!$X$4:$X$9938)))</f>
        <v>0</v>
      </c>
      <c r="AP128" s="19" t="e">
        <f t="shared" si="6"/>
        <v>#N/A</v>
      </c>
      <c r="AS128"/>
    </row>
    <row r="129" spans="31:45" x14ac:dyDescent="0.3">
      <c r="AE129" s="16">
        <v>2031</v>
      </c>
      <c r="AF129" s="17">
        <v>3</v>
      </c>
      <c r="AG129" s="99">
        <f t="array" ref="AG129">MIN(IF('Diário de Operações'!$O$4:$O$9938=AF129,IF('Diário de Operações'!$P$4:$P$9938=Dinâmicas!AE129,'Diário de Operações'!$B$4:$B$9938)))</f>
        <v>0</v>
      </c>
      <c r="AH129" s="99">
        <f t="array" ref="AH129">MAX(IF('Diário de Operações'!$O$4:$O$9938=AF129,IF('Diário de Operações'!$P$4:$P$9938=Dinâmicas!AE129,'Diário de Operações'!$B$4:$B$9938)))</f>
        <v>0</v>
      </c>
      <c r="AI129" s="142" t="e">
        <f>VLOOKUP(AG129,'Diário de Operações'!B:T,18,0)</f>
        <v>#N/A</v>
      </c>
      <c r="AJ129" s="143">
        <f t="array" ref="AJ129">SUM(IF('Diário de Operações'!$O$4:$O$9938=Dinâmicas!AF129,IF('Diário de Operações'!$P$4:$P$9938=Dinâmicas!AE129,IF('Diário de Operações'!$U$4:$U$9938&gt;0,'Diário de Operações'!$U$4:$U$9938,"0"))))</f>
        <v>0</v>
      </c>
      <c r="AK129" s="143">
        <f t="array" ref="AK129">SUM(IF('Diário de Operações'!$O$4:$O$9938=Dinâmicas!AF129,IF('Diário de Operações'!$P$4:$P$9938=Dinâmicas!AE129,IF('Diário de Operações'!$U$4:$U$9938&lt;0,'Diário de Operações'!$U$4:$U$9938,"0"))))</f>
        <v>0</v>
      </c>
      <c r="AL129" s="142" t="e">
        <f>VLOOKUP(AH129,'Diário de Operações'!B:T,19,0)</f>
        <v>#N/A</v>
      </c>
      <c r="AM129" s="142" t="e">
        <f t="shared" si="8"/>
        <v>#N/A</v>
      </c>
      <c r="AN129" s="18" t="e">
        <f t="shared" si="7"/>
        <v>#N/A</v>
      </c>
      <c r="AO129" s="143">
        <f t="array" ref="AO129">MIN(IF('Diário de Operações'!$O$4:$O$9938=AF129,IF('Diário de Operações'!$P$4:$P$9938=Dinâmicas!AE129,'Diário de Operações'!$X$4:$X$9938)))</f>
        <v>0</v>
      </c>
      <c r="AP129" s="19" t="e">
        <f t="shared" si="6"/>
        <v>#N/A</v>
      </c>
      <c r="AS129"/>
    </row>
    <row r="130" spans="31:45" x14ac:dyDescent="0.3">
      <c r="AE130" s="16">
        <v>2031</v>
      </c>
      <c r="AF130" s="17">
        <v>4</v>
      </c>
      <c r="AG130" s="99">
        <f t="array" ref="AG130">MIN(IF('Diário de Operações'!$O$4:$O$9938=AF130,IF('Diário de Operações'!$P$4:$P$9938=Dinâmicas!AE130,'Diário de Operações'!$B$4:$B$9938)))</f>
        <v>0</v>
      </c>
      <c r="AH130" s="99">
        <f t="array" ref="AH130">MAX(IF('Diário de Operações'!$O$4:$O$9938=AF130,IF('Diário de Operações'!$P$4:$P$9938=Dinâmicas!AE130,'Diário de Operações'!$B$4:$B$9938)))</f>
        <v>0</v>
      </c>
      <c r="AI130" s="142" t="e">
        <f>VLOOKUP(AG130,'Diário de Operações'!B:T,18,0)</f>
        <v>#N/A</v>
      </c>
      <c r="AJ130" s="143">
        <f t="array" ref="AJ130">SUM(IF('Diário de Operações'!$O$4:$O$9938=Dinâmicas!AF130,IF('Diário de Operações'!$P$4:$P$9938=Dinâmicas!AE130,IF('Diário de Operações'!$U$4:$U$9938&gt;0,'Diário de Operações'!$U$4:$U$9938,"0"))))</f>
        <v>0</v>
      </c>
      <c r="AK130" s="143">
        <f t="array" ref="AK130">SUM(IF('Diário de Operações'!$O$4:$O$9938=Dinâmicas!AF130,IF('Diário de Operações'!$P$4:$P$9938=Dinâmicas!AE130,IF('Diário de Operações'!$U$4:$U$9938&lt;0,'Diário de Operações'!$U$4:$U$9938,"0"))))</f>
        <v>0</v>
      </c>
      <c r="AL130" s="142" t="e">
        <f>VLOOKUP(AH130,'Diário de Operações'!B:T,19,0)</f>
        <v>#N/A</v>
      </c>
      <c r="AM130" s="142" t="e">
        <f t="shared" si="8"/>
        <v>#N/A</v>
      </c>
      <c r="AN130" s="18" t="e">
        <f t="shared" si="7"/>
        <v>#N/A</v>
      </c>
      <c r="AO130" s="143">
        <f t="array" ref="AO130">MIN(IF('Diário de Operações'!$O$4:$O$9938=AF130,IF('Diário de Operações'!$P$4:$P$9938=Dinâmicas!AE130,'Diário de Operações'!$X$4:$X$9938)))</f>
        <v>0</v>
      </c>
      <c r="AP130" s="19" t="e">
        <f t="shared" si="6"/>
        <v>#N/A</v>
      </c>
      <c r="AS130"/>
    </row>
    <row r="131" spans="31:45" x14ac:dyDescent="0.3">
      <c r="AE131" s="16">
        <v>2031</v>
      </c>
      <c r="AF131" s="17">
        <v>5</v>
      </c>
      <c r="AG131" s="99">
        <f t="array" ref="AG131">MIN(IF('Diário de Operações'!$O$4:$O$9938=AF131,IF('Diário de Operações'!$P$4:$P$9938=Dinâmicas!AE131,'Diário de Operações'!$B$4:$B$9938)))</f>
        <v>0</v>
      </c>
      <c r="AH131" s="99">
        <f t="array" ref="AH131">MAX(IF('Diário de Operações'!$O$4:$O$9938=AF131,IF('Diário de Operações'!$P$4:$P$9938=Dinâmicas!AE131,'Diário de Operações'!$B$4:$B$9938)))</f>
        <v>0</v>
      </c>
      <c r="AI131" s="142" t="e">
        <f>VLOOKUP(AG131,'Diário de Operações'!B:T,18,0)</f>
        <v>#N/A</v>
      </c>
      <c r="AJ131" s="143">
        <f t="array" ref="AJ131">SUM(IF('Diário de Operações'!$O$4:$O$9938=Dinâmicas!AF131,IF('Diário de Operações'!$P$4:$P$9938=Dinâmicas!AE131,IF('Diário de Operações'!$U$4:$U$9938&gt;0,'Diário de Operações'!$U$4:$U$9938,"0"))))</f>
        <v>0</v>
      </c>
      <c r="AK131" s="143">
        <f t="array" ref="AK131">SUM(IF('Diário de Operações'!$O$4:$O$9938=Dinâmicas!AF131,IF('Diário de Operações'!$P$4:$P$9938=Dinâmicas!AE131,IF('Diário de Operações'!$U$4:$U$9938&lt;0,'Diário de Operações'!$U$4:$U$9938,"0"))))</f>
        <v>0</v>
      </c>
      <c r="AL131" s="142" t="e">
        <f>VLOOKUP(AH131,'Diário de Operações'!B:T,19,0)</f>
        <v>#N/A</v>
      </c>
      <c r="AM131" s="142" t="e">
        <f t="shared" ref="AM131:AM138" si="9">IF(AG130=AH130,AL131-(AJ131+AK131),(AL131-AI131)-(AJ131+AK131))</f>
        <v>#N/A</v>
      </c>
      <c r="AN131" s="18" t="e">
        <f t="shared" si="7"/>
        <v>#N/A</v>
      </c>
      <c r="AO131" s="143">
        <f t="array" ref="AO131">MIN(IF('Diário de Operações'!$O$4:$O$9938=AF131,IF('Diário de Operações'!$P$4:$P$9938=Dinâmicas!AE131,'Diário de Operações'!$X$4:$X$9938)))</f>
        <v>0</v>
      </c>
      <c r="AP131" s="19" t="e">
        <f t="shared" si="6"/>
        <v>#N/A</v>
      </c>
      <c r="AS131"/>
    </row>
    <row r="132" spans="31:45" x14ac:dyDescent="0.3">
      <c r="AE132" s="16">
        <v>2031</v>
      </c>
      <c r="AF132" s="17">
        <v>6</v>
      </c>
      <c r="AG132" s="99">
        <f t="array" ref="AG132">MIN(IF('Diário de Operações'!$O$4:$O$9938=AF132,IF('Diário de Operações'!$P$4:$P$9938=Dinâmicas!AE132,'Diário de Operações'!$B$4:$B$9938)))</f>
        <v>0</v>
      </c>
      <c r="AH132" s="99">
        <f t="array" ref="AH132">MAX(IF('Diário de Operações'!$O$4:$O$9938=AF132,IF('Diário de Operações'!$P$4:$P$9938=Dinâmicas!AE132,'Diário de Operações'!$B$4:$B$9938)))</f>
        <v>0</v>
      </c>
      <c r="AI132" s="142" t="e">
        <f>VLOOKUP(AG132,'Diário de Operações'!B:T,18,0)</f>
        <v>#N/A</v>
      </c>
      <c r="AJ132" s="143">
        <f t="array" ref="AJ132">SUM(IF('Diário de Operações'!$O$4:$O$9938=Dinâmicas!AF132,IF('Diário de Operações'!$P$4:$P$9938=Dinâmicas!AE132,IF('Diário de Operações'!$U$4:$U$9938&gt;0,'Diário de Operações'!$U$4:$U$9938,"0"))))</f>
        <v>0</v>
      </c>
      <c r="AK132" s="143">
        <f t="array" ref="AK132">SUM(IF('Diário de Operações'!$O$4:$O$9938=Dinâmicas!AF132,IF('Diário de Operações'!$P$4:$P$9938=Dinâmicas!AE132,IF('Diário de Operações'!$U$4:$U$9938&lt;0,'Diário de Operações'!$U$4:$U$9938,"0"))))</f>
        <v>0</v>
      </c>
      <c r="AL132" s="142" t="e">
        <f>VLOOKUP(AH132,'Diário de Operações'!B:T,19,0)</f>
        <v>#N/A</v>
      </c>
      <c r="AM132" s="142" t="e">
        <f t="shared" si="9"/>
        <v>#N/A</v>
      </c>
      <c r="AN132" s="18" t="e">
        <f t="shared" si="7"/>
        <v>#N/A</v>
      </c>
      <c r="AO132" s="143">
        <f t="array" ref="AO132">MIN(IF('Diário de Operações'!$O$4:$O$9938=AF132,IF('Diário de Operações'!$P$4:$P$9938=Dinâmicas!AE132,'Diário de Operações'!$X$4:$X$9938)))</f>
        <v>0</v>
      </c>
      <c r="AP132" s="19" t="e">
        <f t="shared" ref="AP132:AP138" si="10">((AM132/AO132)/100)*-1</f>
        <v>#N/A</v>
      </c>
      <c r="AS132"/>
    </row>
    <row r="133" spans="31:45" x14ac:dyDescent="0.3">
      <c r="AE133" s="16">
        <v>2031</v>
      </c>
      <c r="AF133" s="17">
        <v>7</v>
      </c>
      <c r="AG133" s="99">
        <f t="array" ref="AG133">MIN(IF('Diário de Operações'!$O$4:$O$9938=AF133,IF('Diário de Operações'!$P$4:$P$9938=Dinâmicas!AE133,'Diário de Operações'!$B$4:$B$9938)))</f>
        <v>0</v>
      </c>
      <c r="AH133" s="99">
        <f t="array" ref="AH133">MAX(IF('Diário de Operações'!$O$4:$O$9938=AF133,IF('Diário de Operações'!$P$4:$P$9938=Dinâmicas!AE133,'Diário de Operações'!$B$4:$B$9938)))</f>
        <v>0</v>
      </c>
      <c r="AI133" s="142" t="e">
        <f>VLOOKUP(AG133,'Diário de Operações'!B:T,18,0)</f>
        <v>#N/A</v>
      </c>
      <c r="AJ133" s="143">
        <f t="array" ref="AJ133">SUM(IF('Diário de Operações'!$O$4:$O$9938=Dinâmicas!AF133,IF('Diário de Operações'!$P$4:$P$9938=Dinâmicas!AE133,IF('Diário de Operações'!$U$4:$U$9938&gt;0,'Diário de Operações'!$U$4:$U$9938,"0"))))</f>
        <v>0</v>
      </c>
      <c r="AK133" s="143">
        <f t="array" ref="AK133">SUM(IF('Diário de Operações'!$O$4:$O$9938=Dinâmicas!AF133,IF('Diário de Operações'!$P$4:$P$9938=Dinâmicas!AE133,IF('Diário de Operações'!$U$4:$U$9938&lt;0,'Diário de Operações'!$U$4:$U$9938,"0"))))</f>
        <v>0</v>
      </c>
      <c r="AL133" s="142" t="e">
        <f>VLOOKUP(AH133,'Diário de Operações'!B:T,19,0)</f>
        <v>#N/A</v>
      </c>
      <c r="AM133" s="142" t="e">
        <f t="shared" si="9"/>
        <v>#N/A</v>
      </c>
      <c r="AN133" s="18" t="e">
        <f t="shared" si="7"/>
        <v>#N/A</v>
      </c>
      <c r="AO133" s="143">
        <f t="array" ref="AO133">MIN(IF('Diário de Operações'!$O$4:$O$9938=AF133,IF('Diário de Operações'!$P$4:$P$9938=Dinâmicas!AE133,'Diário de Operações'!$X$4:$X$9938)))</f>
        <v>0</v>
      </c>
      <c r="AP133" s="19" t="e">
        <f t="shared" si="10"/>
        <v>#N/A</v>
      </c>
      <c r="AS133"/>
    </row>
    <row r="134" spans="31:45" x14ac:dyDescent="0.3">
      <c r="AE134" s="16">
        <v>2031</v>
      </c>
      <c r="AF134" s="17">
        <v>8</v>
      </c>
      <c r="AG134" s="99">
        <f t="array" ref="AG134">MIN(IF('Diário de Operações'!$O$4:$O$9938=AF134,IF('Diário de Operações'!$P$4:$P$9938=Dinâmicas!AE134,'Diário de Operações'!$B$4:$B$9938)))</f>
        <v>0</v>
      </c>
      <c r="AH134" s="99">
        <f t="array" ref="AH134">MAX(IF('Diário de Operações'!$O$4:$O$9938=AF134,IF('Diário de Operações'!$P$4:$P$9938=Dinâmicas!AE134,'Diário de Operações'!$B$4:$B$9938)))</f>
        <v>0</v>
      </c>
      <c r="AI134" s="142" t="e">
        <f>VLOOKUP(AG134,'Diário de Operações'!B:T,18,0)</f>
        <v>#N/A</v>
      </c>
      <c r="AJ134" s="143">
        <f t="array" ref="AJ134">SUM(IF('Diário de Operações'!$O$4:$O$9938=Dinâmicas!AF134,IF('Diário de Operações'!$P$4:$P$9938=Dinâmicas!AE134,IF('Diário de Operações'!$U$4:$U$9938&gt;0,'Diário de Operações'!$U$4:$U$9938,"0"))))</f>
        <v>0</v>
      </c>
      <c r="AK134" s="143">
        <f t="array" ref="AK134">SUM(IF('Diário de Operações'!$O$4:$O$9938=Dinâmicas!AF134,IF('Diário de Operações'!$P$4:$P$9938=Dinâmicas!AE134,IF('Diário de Operações'!$U$4:$U$9938&lt;0,'Diário de Operações'!$U$4:$U$9938,"0"))))</f>
        <v>0</v>
      </c>
      <c r="AL134" s="142" t="e">
        <f>VLOOKUP(AH134,'Diário de Operações'!B:T,19,0)</f>
        <v>#N/A</v>
      </c>
      <c r="AM134" s="142" t="e">
        <f t="shared" si="9"/>
        <v>#N/A</v>
      </c>
      <c r="AN134" s="18" t="e">
        <f t="shared" si="7"/>
        <v>#N/A</v>
      </c>
      <c r="AO134" s="143">
        <f t="array" ref="AO134">MIN(IF('Diário de Operações'!$O$4:$O$9938=AF134,IF('Diário de Operações'!$P$4:$P$9938=Dinâmicas!AE134,'Diário de Operações'!$X$4:$X$9938)))</f>
        <v>0</v>
      </c>
      <c r="AP134" s="19" t="e">
        <f t="shared" si="10"/>
        <v>#N/A</v>
      </c>
      <c r="AS134"/>
    </row>
    <row r="135" spans="31:45" x14ac:dyDescent="0.3">
      <c r="AE135" s="16">
        <v>2031</v>
      </c>
      <c r="AF135" s="17">
        <v>9</v>
      </c>
      <c r="AG135" s="99">
        <f t="array" ref="AG135">MIN(IF('Diário de Operações'!$O$4:$O$9938=AF135,IF('Diário de Operações'!$P$4:$P$9938=Dinâmicas!AE135,'Diário de Operações'!$B$4:$B$9938)))</f>
        <v>0</v>
      </c>
      <c r="AH135" s="99">
        <f t="array" ref="AH135">MAX(IF('Diário de Operações'!$O$4:$O$9938=AF135,IF('Diário de Operações'!$P$4:$P$9938=Dinâmicas!AE135,'Diário de Operações'!$B$4:$B$9938)))</f>
        <v>0</v>
      </c>
      <c r="AI135" s="142" t="e">
        <f>VLOOKUP(AG135,'Diário de Operações'!B:T,18,0)</f>
        <v>#N/A</v>
      </c>
      <c r="AJ135" s="143">
        <f t="array" ref="AJ135">SUM(IF('Diário de Operações'!$O$4:$O$9938=Dinâmicas!AF135,IF('Diário de Operações'!$P$4:$P$9938=Dinâmicas!AE135,IF('Diário de Operações'!$U$4:$U$9938&gt;0,'Diário de Operações'!$U$4:$U$9938,"0"))))</f>
        <v>0</v>
      </c>
      <c r="AK135" s="143">
        <f t="array" ref="AK135">SUM(IF('Diário de Operações'!$O$4:$O$9938=Dinâmicas!AF135,IF('Diário de Operações'!$P$4:$P$9938=Dinâmicas!AE135,IF('Diário de Operações'!$U$4:$U$9938&lt;0,'Diário de Operações'!$U$4:$U$9938,"0"))))</f>
        <v>0</v>
      </c>
      <c r="AL135" s="142" t="e">
        <f>VLOOKUP(AH135,'Diário de Operações'!B:T,19,0)</f>
        <v>#N/A</v>
      </c>
      <c r="AM135" s="142" t="e">
        <f t="shared" si="9"/>
        <v>#N/A</v>
      </c>
      <c r="AN135" s="18" t="e">
        <f t="shared" si="7"/>
        <v>#N/A</v>
      </c>
      <c r="AO135" s="143">
        <f t="array" ref="AO135">MIN(IF('Diário de Operações'!$O$4:$O$9938=AF135,IF('Diário de Operações'!$P$4:$P$9938=Dinâmicas!AE135,'Diário de Operações'!$X$4:$X$9938)))</f>
        <v>0</v>
      </c>
      <c r="AP135" s="19" t="e">
        <f t="shared" si="10"/>
        <v>#N/A</v>
      </c>
      <c r="AS135"/>
    </row>
    <row r="136" spans="31:45" x14ac:dyDescent="0.3">
      <c r="AE136" s="16">
        <v>2031</v>
      </c>
      <c r="AF136" s="17">
        <v>10</v>
      </c>
      <c r="AG136" s="99">
        <f t="array" ref="AG136">MIN(IF('Diário de Operações'!$O$4:$O$9938=AF136,IF('Diário de Operações'!$P$4:$P$9938=Dinâmicas!AE136,'Diário de Operações'!$B$4:$B$9938)))</f>
        <v>0</v>
      </c>
      <c r="AH136" s="99">
        <f t="array" ref="AH136">MAX(IF('Diário de Operações'!$O$4:$O$9938=AF136,IF('Diário de Operações'!$P$4:$P$9938=Dinâmicas!AE136,'Diário de Operações'!$B$4:$B$9938)))</f>
        <v>0</v>
      </c>
      <c r="AI136" s="142" t="e">
        <f>VLOOKUP(AG136,'Diário de Operações'!B:T,18,0)</f>
        <v>#N/A</v>
      </c>
      <c r="AJ136" s="143">
        <f t="array" ref="AJ136">SUM(IF('Diário de Operações'!$O$4:$O$9938=Dinâmicas!AF136,IF('Diário de Operações'!$P$4:$P$9938=Dinâmicas!AE136,IF('Diário de Operações'!$U$4:$U$9938&gt;0,'Diário de Operações'!$U$4:$U$9938,"0"))))</f>
        <v>0</v>
      </c>
      <c r="AK136" s="143">
        <f t="array" ref="AK136">SUM(IF('Diário de Operações'!$O$4:$O$9938=Dinâmicas!AF136,IF('Diário de Operações'!$P$4:$P$9938=Dinâmicas!AE136,IF('Diário de Operações'!$U$4:$U$9938&lt;0,'Diário de Operações'!$U$4:$U$9938,"0"))))</f>
        <v>0</v>
      </c>
      <c r="AL136" s="142" t="e">
        <f>VLOOKUP(AH136,'Diário de Operações'!B:T,19,0)</f>
        <v>#N/A</v>
      </c>
      <c r="AM136" s="142" t="e">
        <f t="shared" si="9"/>
        <v>#N/A</v>
      </c>
      <c r="AN136" s="18" t="e">
        <f t="shared" si="7"/>
        <v>#N/A</v>
      </c>
      <c r="AO136" s="143">
        <f t="array" ref="AO136">MIN(IF('Diário de Operações'!$O$4:$O$9938=AF136,IF('Diário de Operações'!$P$4:$P$9938=Dinâmicas!AE136,'Diário de Operações'!$X$4:$X$9938)))</f>
        <v>0</v>
      </c>
      <c r="AP136" s="19" t="e">
        <f t="shared" si="10"/>
        <v>#N/A</v>
      </c>
      <c r="AS136"/>
    </row>
    <row r="137" spans="31:45" x14ac:dyDescent="0.3">
      <c r="AE137" s="16">
        <v>2031</v>
      </c>
      <c r="AF137" s="17">
        <v>11</v>
      </c>
      <c r="AG137" s="99">
        <f t="array" ref="AG137">MIN(IF('Diário de Operações'!$O$4:$O$9938=AF137,IF('Diário de Operações'!$P$4:$P$9938=Dinâmicas!AE137,'Diário de Operações'!$B$4:$B$9938)))</f>
        <v>0</v>
      </c>
      <c r="AH137" s="99">
        <f t="array" ref="AH137">MAX(IF('Diário de Operações'!$O$4:$O$9938=AF137,IF('Diário de Operações'!$P$4:$P$9938=Dinâmicas!AE137,'Diário de Operações'!$B$4:$B$9938)))</f>
        <v>0</v>
      </c>
      <c r="AI137" s="142" t="e">
        <f>VLOOKUP(AG137,'Diário de Operações'!B:T,18,0)</f>
        <v>#N/A</v>
      </c>
      <c r="AJ137" s="143">
        <f t="array" ref="AJ137">SUM(IF('Diário de Operações'!$O$4:$O$9938=Dinâmicas!AF137,IF('Diário de Operações'!$P$4:$P$9938=Dinâmicas!AE137,IF('Diário de Operações'!$U$4:$U$9938&gt;0,'Diário de Operações'!$U$4:$U$9938,"0"))))</f>
        <v>0</v>
      </c>
      <c r="AK137" s="143">
        <f t="array" ref="AK137">SUM(IF('Diário de Operações'!$O$4:$O$9938=Dinâmicas!AF137,IF('Diário de Operações'!$P$4:$P$9938=Dinâmicas!AE137,IF('Diário de Operações'!$U$4:$U$9938&lt;0,'Diário de Operações'!$U$4:$U$9938,"0"))))</f>
        <v>0</v>
      </c>
      <c r="AL137" s="142" t="e">
        <f>VLOOKUP(AH137,'Diário de Operações'!B:T,19,0)</f>
        <v>#N/A</v>
      </c>
      <c r="AM137" s="142" t="e">
        <f t="shared" si="9"/>
        <v>#N/A</v>
      </c>
      <c r="AN137" s="18" t="e">
        <f t="shared" si="7"/>
        <v>#N/A</v>
      </c>
      <c r="AO137" s="143">
        <f t="array" ref="AO137">MIN(IF('Diário de Operações'!$O$4:$O$9938=AF137,IF('Diário de Operações'!$P$4:$P$9938=Dinâmicas!AE137,'Diário de Operações'!$X$4:$X$9938)))</f>
        <v>0</v>
      </c>
      <c r="AP137" s="19" t="e">
        <f t="shared" si="10"/>
        <v>#N/A</v>
      </c>
      <c r="AS137"/>
    </row>
    <row r="138" spans="31:45" x14ac:dyDescent="0.3">
      <c r="AE138" s="20">
        <v>2031</v>
      </c>
      <c r="AF138" s="21">
        <v>12</v>
      </c>
      <c r="AG138" s="99">
        <f t="array" ref="AG138">MIN(IF('Diário de Operações'!$O$4:$O$9938=AF138,IF('Diário de Operações'!$P$4:$P$9938=Dinâmicas!AE138,'Diário de Operações'!$B$4:$B$9938)))</f>
        <v>0</v>
      </c>
      <c r="AH138" s="99">
        <f t="array" ref="AH138">MAX(IF('Diário de Operações'!$O$4:$O$9938=AF138,IF('Diário de Operações'!$P$4:$P$9938=Dinâmicas!AE138,'Diário de Operações'!$B$4:$B$9938)))</f>
        <v>0</v>
      </c>
      <c r="AI138" s="144" t="e">
        <f>VLOOKUP(AG138,'Diário de Operações'!B:T,18,0)</f>
        <v>#N/A</v>
      </c>
      <c r="AJ138" s="143">
        <f t="array" ref="AJ138">SUM(IF('Diário de Operações'!$O$4:$O$9938=Dinâmicas!AF138,IF('Diário de Operações'!$P$4:$P$9938=Dinâmicas!AE138,IF('Diário de Operações'!$U$4:$U$9938&gt;0,'Diário de Operações'!$U$4:$U$9938,"0"))))</f>
        <v>0</v>
      </c>
      <c r="AK138" s="143">
        <f t="array" ref="AK138">SUM(IF('Diário de Operações'!$O$4:$O$9938=Dinâmicas!AF138,IF('Diário de Operações'!$P$4:$P$9938=Dinâmicas!AE138,IF('Diário de Operações'!$U$4:$U$9938&lt;0,'Diário de Operações'!$U$4:$U$9938,"0"))))</f>
        <v>0</v>
      </c>
      <c r="AL138" s="144" t="e">
        <f>VLOOKUP(AH138,'Diário de Operações'!B:T,19,0)</f>
        <v>#N/A</v>
      </c>
      <c r="AM138" s="142" t="e">
        <f t="shared" si="9"/>
        <v>#N/A</v>
      </c>
      <c r="AN138" s="22" t="e">
        <f t="shared" si="7"/>
        <v>#N/A</v>
      </c>
      <c r="AO138" s="143">
        <f t="array" ref="AO138">MIN(IF('Diário de Operações'!$O$4:$O$9938=AF138,IF('Diário de Operações'!$P$4:$P$9938=Dinâmicas!AE138,'Diário de Operações'!$X$4:$X$9938)))</f>
        <v>0</v>
      </c>
      <c r="AP138" s="23" t="e">
        <f t="shared" si="10"/>
        <v>#N/A</v>
      </c>
      <c r="AS138"/>
    </row>
    <row r="139" spans="31:45" x14ac:dyDescent="0.3">
      <c r="AS139"/>
    </row>
    <row r="140" spans="31:45" x14ac:dyDescent="0.3">
      <c r="AS140"/>
    </row>
    <row r="141" spans="31:45" x14ac:dyDescent="0.3">
      <c r="AS141"/>
    </row>
    <row r="142" spans="31:45" x14ac:dyDescent="0.3">
      <c r="AS142"/>
    </row>
    <row r="143" spans="31:45" x14ac:dyDescent="0.3">
      <c r="AS143"/>
    </row>
    <row r="144" spans="31:45" x14ac:dyDescent="0.3">
      <c r="AS144"/>
    </row>
    <row r="145" spans="45:45" x14ac:dyDescent="0.3">
      <c r="AS145"/>
    </row>
    <row r="146" spans="45:45" x14ac:dyDescent="0.3">
      <c r="AS146"/>
    </row>
    <row r="147" spans="45:45" x14ac:dyDescent="0.3">
      <c r="AS147"/>
    </row>
    <row r="148" spans="45:45" x14ac:dyDescent="0.3">
      <c r="AS148"/>
    </row>
    <row r="149" spans="45:45" x14ac:dyDescent="0.3">
      <c r="AS149"/>
    </row>
    <row r="150" spans="45:45" x14ac:dyDescent="0.3">
      <c r="AS150"/>
    </row>
    <row r="151" spans="45:45" x14ac:dyDescent="0.3">
      <c r="AS151"/>
    </row>
    <row r="152" spans="45:45" x14ac:dyDescent="0.3">
      <c r="AS152"/>
    </row>
    <row r="153" spans="45:45" x14ac:dyDescent="0.3">
      <c r="AS153"/>
    </row>
    <row r="154" spans="45:45" x14ac:dyDescent="0.3">
      <c r="AS154"/>
    </row>
    <row r="155" spans="45:45" x14ac:dyDescent="0.3">
      <c r="AS155"/>
    </row>
    <row r="156" spans="45:45" x14ac:dyDescent="0.3">
      <c r="AS156"/>
    </row>
    <row r="157" spans="45:45" x14ac:dyDescent="0.3">
      <c r="AS157"/>
    </row>
    <row r="158" spans="45:45" x14ac:dyDescent="0.3">
      <c r="AS158"/>
    </row>
    <row r="159" spans="45:45" x14ac:dyDescent="0.3">
      <c r="AS159"/>
    </row>
    <row r="160" spans="45:45" x14ac:dyDescent="0.3">
      <c r="AS160"/>
    </row>
    <row r="161" spans="45:45" x14ac:dyDescent="0.3">
      <c r="AS161"/>
    </row>
    <row r="162" spans="45:45" x14ac:dyDescent="0.3">
      <c r="AS162"/>
    </row>
    <row r="163" spans="45:45" x14ac:dyDescent="0.3">
      <c r="AS163"/>
    </row>
    <row r="164" spans="45:45" x14ac:dyDescent="0.3">
      <c r="AS164"/>
    </row>
    <row r="165" spans="45:45" x14ac:dyDescent="0.3">
      <c r="AS165"/>
    </row>
    <row r="166" spans="45:45" x14ac:dyDescent="0.3">
      <c r="AS166"/>
    </row>
    <row r="167" spans="45:45" x14ac:dyDescent="0.3">
      <c r="AS167"/>
    </row>
    <row r="168" spans="45:45" x14ac:dyDescent="0.3">
      <c r="AS168"/>
    </row>
    <row r="169" spans="45:45" x14ac:dyDescent="0.3">
      <c r="AS169"/>
    </row>
    <row r="170" spans="45:45" x14ac:dyDescent="0.3">
      <c r="AS170"/>
    </row>
    <row r="171" spans="45:45" x14ac:dyDescent="0.3">
      <c r="AS171"/>
    </row>
    <row r="172" spans="45:45" x14ac:dyDescent="0.3">
      <c r="AS172"/>
    </row>
    <row r="173" spans="45:45" x14ac:dyDescent="0.3">
      <c r="AS173"/>
    </row>
    <row r="174" spans="45:45" x14ac:dyDescent="0.3">
      <c r="AS174"/>
    </row>
    <row r="175" spans="45:45" x14ac:dyDescent="0.3">
      <c r="AS175"/>
    </row>
    <row r="176" spans="45:45" x14ac:dyDescent="0.3">
      <c r="AS176"/>
    </row>
    <row r="177" spans="45:45" x14ac:dyDescent="0.3">
      <c r="AS177"/>
    </row>
    <row r="178" spans="45:45" x14ac:dyDescent="0.3">
      <c r="AS178"/>
    </row>
    <row r="179" spans="45:45" x14ac:dyDescent="0.3">
      <c r="AS179"/>
    </row>
    <row r="180" spans="45:45" x14ac:dyDescent="0.3">
      <c r="AS180"/>
    </row>
    <row r="181" spans="45:45" x14ac:dyDescent="0.3">
      <c r="AS181"/>
    </row>
    <row r="182" spans="45:45" x14ac:dyDescent="0.3">
      <c r="AS182"/>
    </row>
    <row r="183" spans="45:45" x14ac:dyDescent="0.3">
      <c r="AS183"/>
    </row>
    <row r="184" spans="45:45" x14ac:dyDescent="0.3">
      <c r="AS184"/>
    </row>
    <row r="185" spans="45:45" x14ac:dyDescent="0.3">
      <c r="AS185"/>
    </row>
    <row r="186" spans="45:45" x14ac:dyDescent="0.3">
      <c r="AS186"/>
    </row>
    <row r="187" spans="45:45" x14ac:dyDescent="0.3">
      <c r="AS187"/>
    </row>
    <row r="188" spans="45:45" x14ac:dyDescent="0.3">
      <c r="AS188"/>
    </row>
    <row r="189" spans="45:45" x14ac:dyDescent="0.3">
      <c r="AS189"/>
    </row>
    <row r="190" spans="45:45" x14ac:dyDescent="0.3">
      <c r="AS190"/>
    </row>
    <row r="191" spans="45:45" x14ac:dyDescent="0.3">
      <c r="AS191"/>
    </row>
    <row r="192" spans="45:45" x14ac:dyDescent="0.3">
      <c r="AS192"/>
    </row>
    <row r="193" spans="45:45" x14ac:dyDescent="0.3">
      <c r="AS193"/>
    </row>
    <row r="194" spans="45:45" x14ac:dyDescent="0.3">
      <c r="AS194"/>
    </row>
    <row r="195" spans="45:45" x14ac:dyDescent="0.3">
      <c r="AS195"/>
    </row>
    <row r="196" spans="45:45" x14ac:dyDescent="0.3">
      <c r="AS196"/>
    </row>
    <row r="197" spans="45:45" x14ac:dyDescent="0.3">
      <c r="AS197"/>
    </row>
    <row r="198" spans="45:45" x14ac:dyDescent="0.3">
      <c r="AS198"/>
    </row>
    <row r="199" spans="45:45" x14ac:dyDescent="0.3">
      <c r="AS199"/>
    </row>
    <row r="200" spans="45:45" x14ac:dyDescent="0.3">
      <c r="AS200"/>
    </row>
    <row r="201" spans="45:45" x14ac:dyDescent="0.3">
      <c r="AS201"/>
    </row>
    <row r="202" spans="45:45" x14ac:dyDescent="0.3">
      <c r="AS202"/>
    </row>
    <row r="203" spans="45:45" x14ac:dyDescent="0.3">
      <c r="AS203"/>
    </row>
    <row r="204" spans="45:45" x14ac:dyDescent="0.3">
      <c r="AS204"/>
    </row>
    <row r="205" spans="45:45" x14ac:dyDescent="0.3">
      <c r="AS205"/>
    </row>
    <row r="206" spans="45:45" x14ac:dyDescent="0.3">
      <c r="AS206"/>
    </row>
    <row r="207" spans="45:45" x14ac:dyDescent="0.3">
      <c r="AS207"/>
    </row>
    <row r="208" spans="45:45" x14ac:dyDescent="0.3">
      <c r="AS208"/>
    </row>
    <row r="209" spans="45:45" x14ac:dyDescent="0.3">
      <c r="AS209"/>
    </row>
    <row r="210" spans="45:45" x14ac:dyDescent="0.3">
      <c r="AS210"/>
    </row>
    <row r="211" spans="45:45" x14ac:dyDescent="0.3">
      <c r="AS211"/>
    </row>
    <row r="212" spans="45:45" x14ac:dyDescent="0.3">
      <c r="AS212"/>
    </row>
    <row r="213" spans="45:45" x14ac:dyDescent="0.3">
      <c r="AS213"/>
    </row>
    <row r="214" spans="45:45" x14ac:dyDescent="0.3">
      <c r="AS214"/>
    </row>
    <row r="215" spans="45:45" x14ac:dyDescent="0.3">
      <c r="AS215"/>
    </row>
    <row r="216" spans="45:45" x14ac:dyDescent="0.3">
      <c r="AS216"/>
    </row>
    <row r="217" spans="45:45" x14ac:dyDescent="0.3">
      <c r="AS217"/>
    </row>
    <row r="218" spans="45:45" x14ac:dyDescent="0.3">
      <c r="AS218"/>
    </row>
    <row r="219" spans="45:45" x14ac:dyDescent="0.3">
      <c r="AS219"/>
    </row>
    <row r="220" spans="45:45" x14ac:dyDescent="0.3">
      <c r="AS220"/>
    </row>
    <row r="221" spans="45:45" x14ac:dyDescent="0.3">
      <c r="AS221"/>
    </row>
    <row r="222" spans="45:45" x14ac:dyDescent="0.3">
      <c r="AS222"/>
    </row>
    <row r="223" spans="45:45" x14ac:dyDescent="0.3">
      <c r="AS223"/>
    </row>
    <row r="224" spans="45:45" x14ac:dyDescent="0.3">
      <c r="AS224"/>
    </row>
    <row r="225" spans="45:45" x14ac:dyDescent="0.3">
      <c r="AS225"/>
    </row>
    <row r="226" spans="45:45" x14ac:dyDescent="0.3">
      <c r="AS226"/>
    </row>
    <row r="227" spans="45:45" x14ac:dyDescent="0.3">
      <c r="AS227"/>
    </row>
    <row r="228" spans="45:45" x14ac:dyDescent="0.3">
      <c r="AS228"/>
    </row>
    <row r="229" spans="45:45" x14ac:dyDescent="0.3">
      <c r="AS229"/>
    </row>
    <row r="230" spans="45:45" x14ac:dyDescent="0.3">
      <c r="AS230"/>
    </row>
    <row r="231" spans="45:45" x14ac:dyDescent="0.3">
      <c r="AS231"/>
    </row>
    <row r="232" spans="45:45" x14ac:dyDescent="0.3">
      <c r="AS232"/>
    </row>
    <row r="233" spans="45:45" x14ac:dyDescent="0.3">
      <c r="AS233"/>
    </row>
    <row r="234" spans="45:45" x14ac:dyDescent="0.3">
      <c r="AS234"/>
    </row>
    <row r="235" spans="45:45" x14ac:dyDescent="0.3">
      <c r="AS235"/>
    </row>
    <row r="236" spans="45:45" x14ac:dyDescent="0.3">
      <c r="AS236"/>
    </row>
    <row r="237" spans="45:45" x14ac:dyDescent="0.3">
      <c r="AS237"/>
    </row>
    <row r="238" spans="45:45" x14ac:dyDescent="0.3">
      <c r="AS238"/>
    </row>
    <row r="239" spans="45:45" x14ac:dyDescent="0.3">
      <c r="AS239"/>
    </row>
    <row r="240" spans="45:45" x14ac:dyDescent="0.3">
      <c r="AS240"/>
    </row>
    <row r="241" spans="45:45" x14ac:dyDescent="0.3">
      <c r="AS241"/>
    </row>
    <row r="242" spans="45:45" x14ac:dyDescent="0.3">
      <c r="AS242"/>
    </row>
    <row r="243" spans="45:45" x14ac:dyDescent="0.3">
      <c r="AS243"/>
    </row>
    <row r="244" spans="45:45" x14ac:dyDescent="0.3">
      <c r="AS244"/>
    </row>
    <row r="245" spans="45:45" x14ac:dyDescent="0.3">
      <c r="AS245"/>
    </row>
    <row r="246" spans="45:45" x14ac:dyDescent="0.3">
      <c r="AS246"/>
    </row>
    <row r="247" spans="45:45" x14ac:dyDescent="0.3">
      <c r="AS247"/>
    </row>
    <row r="248" spans="45:45" x14ac:dyDescent="0.3">
      <c r="AS248"/>
    </row>
    <row r="249" spans="45:45" x14ac:dyDescent="0.3">
      <c r="AS249"/>
    </row>
    <row r="250" spans="45:45" x14ac:dyDescent="0.3">
      <c r="AS250"/>
    </row>
    <row r="251" spans="45:45" x14ac:dyDescent="0.3">
      <c r="AS251"/>
    </row>
    <row r="252" spans="45:45" x14ac:dyDescent="0.3">
      <c r="AS252"/>
    </row>
    <row r="253" spans="45:45" x14ac:dyDescent="0.3">
      <c r="AS253"/>
    </row>
    <row r="254" spans="45:45" x14ac:dyDescent="0.3">
      <c r="AS254"/>
    </row>
    <row r="255" spans="45:45" x14ac:dyDescent="0.3">
      <c r="AS255"/>
    </row>
    <row r="256" spans="45:45" x14ac:dyDescent="0.3">
      <c r="AS256"/>
    </row>
    <row r="257" spans="45:45" x14ac:dyDescent="0.3">
      <c r="AS257"/>
    </row>
    <row r="258" spans="45:45" x14ac:dyDescent="0.3">
      <c r="AS258"/>
    </row>
    <row r="259" spans="45:45" x14ac:dyDescent="0.3">
      <c r="AS259"/>
    </row>
    <row r="260" spans="45:45" x14ac:dyDescent="0.3">
      <c r="AS260"/>
    </row>
    <row r="261" spans="45:45" x14ac:dyDescent="0.3">
      <c r="AS261"/>
    </row>
    <row r="262" spans="45:45" x14ac:dyDescent="0.3">
      <c r="AS262"/>
    </row>
    <row r="263" spans="45:45" x14ac:dyDescent="0.3">
      <c r="AS263"/>
    </row>
    <row r="264" spans="45:45" x14ac:dyDescent="0.3">
      <c r="AS264"/>
    </row>
    <row r="265" spans="45:45" x14ac:dyDescent="0.3">
      <c r="AS265"/>
    </row>
    <row r="266" spans="45:45" x14ac:dyDescent="0.3">
      <c r="AS266"/>
    </row>
    <row r="267" spans="45:45" x14ac:dyDescent="0.3">
      <c r="AS267"/>
    </row>
    <row r="268" spans="45:45" x14ac:dyDescent="0.3">
      <c r="AS268"/>
    </row>
    <row r="269" spans="45:45" x14ac:dyDescent="0.3">
      <c r="AS269"/>
    </row>
    <row r="270" spans="45:45" x14ac:dyDescent="0.3">
      <c r="AS270"/>
    </row>
    <row r="271" spans="45:45" x14ac:dyDescent="0.3">
      <c r="AS271"/>
    </row>
    <row r="272" spans="45:45" x14ac:dyDescent="0.3">
      <c r="AS272"/>
    </row>
    <row r="273" spans="45:45" x14ac:dyDescent="0.3">
      <c r="AS273"/>
    </row>
    <row r="274" spans="45:45" x14ac:dyDescent="0.3">
      <c r="AS274"/>
    </row>
    <row r="275" spans="45:45" x14ac:dyDescent="0.3">
      <c r="AS275"/>
    </row>
    <row r="276" spans="45:45" x14ac:dyDescent="0.3">
      <c r="AS276"/>
    </row>
    <row r="277" spans="45:45" x14ac:dyDescent="0.3">
      <c r="AS277"/>
    </row>
    <row r="278" spans="45:45" x14ac:dyDescent="0.3">
      <c r="AS278"/>
    </row>
    <row r="279" spans="45:45" x14ac:dyDescent="0.3">
      <c r="AS279"/>
    </row>
    <row r="280" spans="45:45" x14ac:dyDescent="0.3">
      <c r="AS280"/>
    </row>
    <row r="281" spans="45:45" x14ac:dyDescent="0.3">
      <c r="AS281"/>
    </row>
    <row r="282" spans="45:45" x14ac:dyDescent="0.3">
      <c r="AS282"/>
    </row>
    <row r="283" spans="45:45" x14ac:dyDescent="0.3">
      <c r="AS283"/>
    </row>
    <row r="284" spans="45:45" x14ac:dyDescent="0.3">
      <c r="AS284"/>
    </row>
    <row r="285" spans="45:45" x14ac:dyDescent="0.3">
      <c r="AS285"/>
    </row>
    <row r="286" spans="45:45" x14ac:dyDescent="0.3">
      <c r="AS286"/>
    </row>
    <row r="287" spans="45:45" x14ac:dyDescent="0.3">
      <c r="AS287"/>
    </row>
  </sheetData>
  <mergeCells count="1">
    <mergeCell ref="AE1:AP1"/>
  </mergeCells>
  <phoneticPr fontId="7" type="noConversion"/>
  <conditionalFormatting sqref="AB2">
    <cfRule type="cellIs" dxfId="48" priority="1" operator="lessThan">
      <formula>0</formula>
    </cfRule>
    <cfRule type="cellIs" dxfId="47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2"/>
  <tableParts count="1">
    <tablePart r:id="rId1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E12"/>
  <sheetViews>
    <sheetView workbookViewId="0">
      <selection activeCell="E3" sqref="E3"/>
    </sheetView>
  </sheetViews>
  <sheetFormatPr defaultRowHeight="14.4" x14ac:dyDescent="0.3"/>
  <cols>
    <col min="2" max="2" width="11" bestFit="1" customWidth="1"/>
    <col min="3" max="3" width="7.88671875" bestFit="1" customWidth="1"/>
    <col min="4" max="4" width="49" bestFit="1" customWidth="1"/>
  </cols>
  <sheetData>
    <row r="1" spans="1:5" x14ac:dyDescent="0.3">
      <c r="A1" s="5" t="s">
        <v>23</v>
      </c>
      <c r="B1" s="5" t="s">
        <v>1</v>
      </c>
      <c r="C1" s="5" t="s">
        <v>0</v>
      </c>
      <c r="D1" s="5" t="s">
        <v>71</v>
      </c>
      <c r="E1" s="5" t="s">
        <v>183</v>
      </c>
    </row>
    <row r="2" spans="1:5" x14ac:dyDescent="0.3">
      <c r="A2" s="5" t="s">
        <v>28</v>
      </c>
      <c r="B2" s="5" t="s">
        <v>3</v>
      </c>
      <c r="C2" s="5" t="s">
        <v>2</v>
      </c>
      <c r="D2" s="5" t="s">
        <v>72</v>
      </c>
      <c r="E2" s="5" t="s">
        <v>184</v>
      </c>
    </row>
    <row r="3" spans="1:5" x14ac:dyDescent="0.3">
      <c r="A3" s="5" t="s">
        <v>27</v>
      </c>
      <c r="B3" s="5" t="s">
        <v>4</v>
      </c>
      <c r="C3" s="5" t="s">
        <v>5</v>
      </c>
      <c r="D3" s="5" t="s">
        <v>73</v>
      </c>
    </row>
    <row r="4" spans="1:5" x14ac:dyDescent="0.3">
      <c r="A4" s="5" t="s">
        <v>24</v>
      </c>
      <c r="B4" s="5" t="s">
        <v>5</v>
      </c>
      <c r="C4" s="5"/>
      <c r="D4" s="5" t="s">
        <v>74</v>
      </c>
    </row>
    <row r="5" spans="1:5" x14ac:dyDescent="0.3">
      <c r="A5" s="5" t="s">
        <v>26</v>
      </c>
      <c r="C5" s="5"/>
      <c r="D5" s="5" t="s">
        <v>174</v>
      </c>
    </row>
    <row r="6" spans="1:5" x14ac:dyDescent="0.3">
      <c r="A6" s="4" t="s">
        <v>25</v>
      </c>
      <c r="B6" s="5"/>
      <c r="C6" s="5"/>
      <c r="D6" s="5" t="s">
        <v>176</v>
      </c>
    </row>
    <row r="7" spans="1:5" x14ac:dyDescent="0.3">
      <c r="A7" s="4" t="s">
        <v>18</v>
      </c>
      <c r="B7" s="4"/>
      <c r="C7" s="4"/>
      <c r="D7" s="5" t="s">
        <v>175</v>
      </c>
    </row>
    <row r="8" spans="1:5" x14ac:dyDescent="0.3">
      <c r="A8" s="4" t="s">
        <v>5</v>
      </c>
      <c r="B8" s="4"/>
      <c r="C8" s="4"/>
      <c r="D8" s="5" t="s">
        <v>177</v>
      </c>
    </row>
    <row r="9" spans="1:5" x14ac:dyDescent="0.3">
      <c r="D9" s="5" t="s">
        <v>178</v>
      </c>
    </row>
    <row r="10" spans="1:5" x14ac:dyDescent="0.3">
      <c r="D10" s="5" t="s">
        <v>179</v>
      </c>
    </row>
    <row r="11" spans="1:5" x14ac:dyDescent="0.3">
      <c r="D11" s="5" t="s">
        <v>180</v>
      </c>
    </row>
    <row r="12" spans="1:5" x14ac:dyDescent="0.3">
      <c r="D12" s="5" t="s">
        <v>181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Projeção de Investimento</vt:lpstr>
      <vt:lpstr>Trading Plan</vt:lpstr>
      <vt:lpstr>Regras Gerais</vt:lpstr>
      <vt:lpstr>Diário de Operações</vt:lpstr>
      <vt:lpstr>Dashboard - 1</vt:lpstr>
      <vt:lpstr>Dashboard - 2</vt:lpstr>
      <vt:lpstr>Dinâmicas</vt:lpstr>
      <vt:lpstr>Padrões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Everton Gomes</dc:creator>
  <cp:lastModifiedBy>User</cp:lastModifiedBy>
  <dcterms:created xsi:type="dcterms:W3CDTF">2021-01-16T14:20:10Z</dcterms:created>
  <dcterms:modified xsi:type="dcterms:W3CDTF">2021-09-04T16:16:10Z</dcterms:modified>
</cp:coreProperties>
</file>